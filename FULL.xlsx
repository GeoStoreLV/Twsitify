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wistify\"/>
    </mc:Choice>
  </mc:AlternateContent>
  <xr:revisionPtr revIDLastSave="0" documentId="13_ncr:1_{A398F48D-6364-4846-A093-A5A12D4E9EC1}" xr6:coauthVersionLast="47" xr6:coauthVersionMax="47" xr10:uidLastSave="{00000000-0000-0000-0000-000000000000}"/>
  <bookViews>
    <workbookView xWindow="22005" yWindow="15" windowWidth="20925" windowHeight="20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F68" i="1"/>
  <c r="G68" i="1" s="1"/>
  <c r="H68" i="1" s="1"/>
  <c r="F104" i="1"/>
  <c r="G104" i="1" s="1"/>
  <c r="H104" i="1" s="1"/>
  <c r="F102" i="1"/>
  <c r="G102" i="1"/>
  <c r="H102" i="1" s="1"/>
  <c r="F103" i="1"/>
  <c r="G103" i="1"/>
  <c r="H103" i="1" s="1"/>
  <c r="F92" i="1"/>
  <c r="G92" i="1"/>
  <c r="H92" i="1" s="1"/>
  <c r="F93" i="1"/>
  <c r="G93" i="1"/>
  <c r="H93" i="1"/>
  <c r="F94" i="1"/>
  <c r="G94" i="1" s="1"/>
  <c r="H94" i="1" s="1"/>
  <c r="F95" i="1"/>
  <c r="G95" i="1" s="1"/>
  <c r="H95" i="1" s="1"/>
  <c r="F96" i="1"/>
  <c r="G96" i="1"/>
  <c r="H96" i="1" s="1"/>
  <c r="F97" i="1"/>
  <c r="G97" i="1"/>
  <c r="H97" i="1" s="1"/>
  <c r="F98" i="1"/>
  <c r="G98" i="1" s="1"/>
  <c r="H98" i="1" s="1"/>
  <c r="F99" i="1"/>
  <c r="G99" i="1" s="1"/>
  <c r="H99" i="1" s="1"/>
  <c r="F100" i="1"/>
  <c r="G100" i="1"/>
  <c r="H100" i="1" s="1"/>
  <c r="F81" i="1"/>
  <c r="G81" i="1"/>
  <c r="H81" i="1"/>
  <c r="F82" i="1"/>
  <c r="G82" i="1"/>
  <c r="H82" i="1"/>
  <c r="F83" i="1"/>
  <c r="G83" i="1"/>
  <c r="H83" i="1"/>
  <c r="F84" i="1"/>
  <c r="G84" i="1" s="1"/>
  <c r="H84" i="1" s="1"/>
  <c r="F85" i="1"/>
  <c r="G85" i="1"/>
  <c r="H85" i="1"/>
  <c r="F86" i="1"/>
  <c r="G86" i="1"/>
  <c r="H86" i="1"/>
  <c r="F87" i="1"/>
  <c r="G87" i="1"/>
  <c r="H87" i="1"/>
  <c r="F88" i="1"/>
  <c r="G88" i="1" s="1"/>
  <c r="H88" i="1" s="1"/>
  <c r="F89" i="1"/>
  <c r="G89" i="1"/>
  <c r="H89" i="1"/>
  <c r="F90" i="1"/>
  <c r="G90" i="1"/>
  <c r="H90" i="1"/>
  <c r="F73" i="1"/>
  <c r="G73" i="1" s="1"/>
  <c r="H73" i="1" s="1"/>
  <c r="F74" i="1"/>
  <c r="G74" i="1" s="1"/>
  <c r="H74" i="1" s="1"/>
  <c r="F75" i="1"/>
  <c r="G75" i="1" s="1"/>
  <c r="H75" i="1" s="1"/>
  <c r="F76" i="1"/>
  <c r="G76" i="1"/>
  <c r="H76" i="1" s="1"/>
  <c r="F77" i="1"/>
  <c r="G77" i="1"/>
  <c r="H77" i="1" s="1"/>
  <c r="F78" i="1"/>
  <c r="G78" i="1"/>
  <c r="H78" i="1" s="1"/>
  <c r="F79" i="1"/>
  <c r="G79" i="1"/>
  <c r="H79" i="1" s="1"/>
  <c r="F65" i="1"/>
  <c r="G65" i="1" s="1"/>
  <c r="H65" i="1" s="1"/>
  <c r="F66" i="1"/>
  <c r="G66" i="1"/>
  <c r="H66" i="1" s="1"/>
  <c r="F67" i="1"/>
  <c r="G67" i="1"/>
  <c r="H67" i="1" s="1"/>
  <c r="F69" i="1"/>
  <c r="G69" i="1" s="1"/>
  <c r="H69" i="1" s="1"/>
  <c r="F70" i="1"/>
  <c r="G70" i="1"/>
  <c r="H70" i="1" s="1"/>
  <c r="F71" i="1"/>
  <c r="G71" i="1" s="1"/>
  <c r="H71" i="1" s="1"/>
  <c r="G22" i="1"/>
  <c r="H22" i="1" s="1"/>
  <c r="G24" i="1"/>
  <c r="H24" i="1" s="1"/>
  <c r="G26" i="1"/>
  <c r="G28" i="1"/>
  <c r="H28" i="1" s="1"/>
  <c r="G37" i="1"/>
  <c r="G41" i="1"/>
  <c r="H41" i="1" s="1"/>
  <c r="G48" i="1"/>
  <c r="G50" i="1"/>
  <c r="G53" i="1"/>
  <c r="H53" i="1" s="1"/>
  <c r="G54" i="1"/>
  <c r="H54" i="1" s="1"/>
  <c r="G55" i="1"/>
  <c r="G61" i="1"/>
  <c r="H61" i="1" s="1"/>
  <c r="G62" i="1"/>
  <c r="F57" i="1"/>
  <c r="G57" i="1" s="1"/>
  <c r="H57" i="1" s="1"/>
  <c r="F58" i="1"/>
  <c r="G58" i="1" s="1"/>
  <c r="H58" i="1" s="1"/>
  <c r="F59" i="1"/>
  <c r="G59" i="1" s="1"/>
  <c r="H59" i="1" s="1"/>
  <c r="F60" i="1"/>
  <c r="G60" i="1" s="1"/>
  <c r="F61" i="1"/>
  <c r="F62" i="1"/>
  <c r="H62" i="1"/>
  <c r="F63" i="1"/>
  <c r="G63" i="1" s="1"/>
  <c r="H63" i="1" s="1"/>
  <c r="F55" i="1"/>
  <c r="F52" i="1"/>
  <c r="G52" i="1" s="1"/>
  <c r="H52" i="1" s="1"/>
  <c r="F53" i="1"/>
  <c r="F54" i="1"/>
  <c r="F50" i="1"/>
  <c r="F49" i="1"/>
  <c r="G49" i="1" s="1"/>
  <c r="F47" i="1"/>
  <c r="F48" i="1"/>
  <c r="F43" i="1"/>
  <c r="G43" i="1" s="1"/>
  <c r="H43" i="1" s="1"/>
  <c r="F44" i="1"/>
  <c r="G44" i="1" s="1"/>
  <c r="H44" i="1" s="1"/>
  <c r="F45" i="1"/>
  <c r="G45" i="1" s="1"/>
  <c r="H45" i="1" s="1"/>
  <c r="F46" i="1"/>
  <c r="G46" i="1" s="1"/>
  <c r="H46" i="1" s="1"/>
  <c r="F41" i="1"/>
  <c r="F38" i="1"/>
  <c r="G38" i="1" s="1"/>
  <c r="H38" i="1" s="1"/>
  <c r="F39" i="1"/>
  <c r="G39" i="1" s="1"/>
  <c r="H39" i="1" s="1"/>
  <c r="F40" i="1"/>
  <c r="G40" i="1" s="1"/>
  <c r="H40" i="1" s="1"/>
  <c r="H37" i="1"/>
  <c r="F37" i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1" i="1"/>
  <c r="G31" i="1" s="1"/>
  <c r="H31" i="1" s="1"/>
  <c r="F30" i="1"/>
  <c r="G30" i="1" s="1"/>
  <c r="H30" i="1" s="1"/>
  <c r="F28" i="1"/>
  <c r="F29" i="1"/>
  <c r="G29" i="1" s="1"/>
  <c r="H29" i="1" s="1"/>
  <c r="F27" i="1"/>
  <c r="G27" i="1" s="1"/>
  <c r="F26" i="1"/>
  <c r="F22" i="1"/>
  <c r="F23" i="1"/>
  <c r="G23" i="1" s="1"/>
  <c r="H23" i="1" s="1"/>
  <c r="F24" i="1"/>
  <c r="F25" i="1"/>
  <c r="G25" i="1" s="1"/>
  <c r="H25" i="1" s="1"/>
  <c r="F6" i="1"/>
  <c r="F7" i="1"/>
  <c r="F8" i="1"/>
  <c r="F9" i="1"/>
  <c r="G9" i="1" s="1"/>
  <c r="F10" i="1"/>
  <c r="F11" i="1"/>
  <c r="F12" i="1"/>
  <c r="F13" i="1"/>
  <c r="F14" i="1"/>
  <c r="F15" i="1"/>
  <c r="G15" i="1" s="1"/>
  <c r="F16" i="1"/>
  <c r="G16" i="1" s="1"/>
  <c r="F17" i="1"/>
  <c r="F18" i="1"/>
  <c r="F19" i="1"/>
  <c r="G19" i="1" s="1"/>
  <c r="F20" i="1"/>
  <c r="G20" i="1" s="1"/>
  <c r="H20" i="1" s="1"/>
  <c r="F5" i="1"/>
  <c r="G14" i="1" l="1"/>
  <c r="H14" i="1" s="1"/>
  <c r="G13" i="1"/>
  <c r="H13" i="1" s="1"/>
  <c r="H10" i="1"/>
  <c r="H55" i="1"/>
  <c r="G12" i="1"/>
  <c r="H12" i="1" s="1"/>
  <c r="G11" i="1"/>
  <c r="H11" i="1" s="1"/>
  <c r="H8" i="1"/>
  <c r="H26" i="1"/>
  <c r="H48" i="1"/>
  <c r="G10" i="1"/>
  <c r="G8" i="1"/>
  <c r="H47" i="1"/>
  <c r="H50" i="1"/>
  <c r="G7" i="1"/>
  <c r="H7" i="1" s="1"/>
  <c r="H9" i="1"/>
  <c r="H19" i="1"/>
  <c r="H49" i="1"/>
  <c r="G47" i="1"/>
  <c r="H16" i="1"/>
  <c r="G18" i="1"/>
  <c r="H18" i="1" s="1"/>
  <c r="G6" i="1"/>
  <c r="H6" i="1" s="1"/>
  <c r="H27" i="1"/>
  <c r="H15" i="1"/>
  <c r="H60" i="1"/>
  <c r="G17" i="1"/>
  <c r="H17" i="1" s="1"/>
  <c r="H5" i="1"/>
</calcChain>
</file>

<file path=xl/sharedStrings.xml><?xml version="1.0" encoding="utf-8"?>
<sst xmlns="http://schemas.openxmlformats.org/spreadsheetml/2006/main" count="250" uniqueCount="107">
  <si>
    <t>TWISTIFY KATALOGS</t>
  </si>
  <si>
    <t>Kubs</t>
  </si>
  <si>
    <t>Modelis</t>
  </si>
  <si>
    <t>Tier</t>
  </si>
  <si>
    <t>Nosaukums</t>
  </si>
  <si>
    <t>Twistify cena</t>
  </si>
  <si>
    <t>(EUR)</t>
  </si>
  <si>
    <t>Peļņa</t>
  </si>
  <si>
    <t>Cubezz.com (USD)</t>
  </si>
  <si>
    <t>3x3</t>
  </si>
  <si>
    <t>GAN 16</t>
  </si>
  <si>
    <t>Flagship</t>
  </si>
  <si>
    <t>X-Man Tornado V4</t>
  </si>
  <si>
    <t>Pioneer UV</t>
  </si>
  <si>
    <t>MoYu WeiLong V11</t>
  </si>
  <si>
    <t>Magnetic</t>
  </si>
  <si>
    <t>Magnetic UV</t>
  </si>
  <si>
    <t>8-Magnet Ball-core, Maglev, UV</t>
  </si>
  <si>
    <t>20-Magnet Ball-core, Maglev, UV</t>
  </si>
  <si>
    <t>Performance</t>
  </si>
  <si>
    <t>MagLev</t>
  </si>
  <si>
    <t>GAN 12</t>
  </si>
  <si>
    <t>Leap</t>
  </si>
  <si>
    <t>MagLev, UV</t>
  </si>
  <si>
    <t>Maglev Max, UV</t>
  </si>
  <si>
    <t>MoYu RS3M V5</t>
  </si>
  <si>
    <t>Dual Adjustment</t>
  </si>
  <si>
    <t>MagLev + Robot</t>
  </si>
  <si>
    <t>Ball-Core, UV + Robot</t>
  </si>
  <si>
    <t>Value</t>
  </si>
  <si>
    <t>MoYu RS3 M 2020</t>
  </si>
  <si>
    <t>Entry</t>
  </si>
  <si>
    <t>2x2</t>
  </si>
  <si>
    <t>MoYu MeiLong V2</t>
  </si>
  <si>
    <t>GAN 251</t>
  </si>
  <si>
    <t>Leap, UV</t>
  </si>
  <si>
    <t>Pro</t>
  </si>
  <si>
    <t>Air</t>
  </si>
  <si>
    <t>MoYu WeiPo WR V5</t>
  </si>
  <si>
    <t>Magnetic, 20-Magnet ball-core, UV</t>
  </si>
  <si>
    <t>MoYu WeiPo WR S</t>
  </si>
  <si>
    <t>YJ MGC Beta 2x2</t>
  </si>
  <si>
    <t>Standard</t>
  </si>
  <si>
    <t>Omni-Positioning, UV</t>
  </si>
  <si>
    <t>YJ MGC 2x2</t>
  </si>
  <si>
    <t>MoYu RS2 M Evolution</t>
  </si>
  <si>
    <t>4x4</t>
  </si>
  <si>
    <t>MoYu AoSu V7</t>
  </si>
  <si>
    <t>GAN 460 V2</t>
  </si>
  <si>
    <t>YJ MGC</t>
  </si>
  <si>
    <t>MoYu RS4 M</t>
  </si>
  <si>
    <t>Magnetic, UV</t>
  </si>
  <si>
    <t>Single-Track</t>
  </si>
  <si>
    <t>Single-Track, UV</t>
  </si>
  <si>
    <t>Double-Track, UV</t>
  </si>
  <si>
    <t>Triple-Track, UV</t>
  </si>
  <si>
    <t>Magnetic, Speed-Micro Actuator</t>
  </si>
  <si>
    <t>5x5</t>
  </si>
  <si>
    <t>GAN 562</t>
  </si>
  <si>
    <t>Magnetic, Core magnets, Frosted</t>
  </si>
  <si>
    <t>Magnetic, Core magnets, UV</t>
  </si>
  <si>
    <t>MoYu MeiLong</t>
  </si>
  <si>
    <t>6x6</t>
  </si>
  <si>
    <t>MoYu AoShi WR M</t>
  </si>
  <si>
    <t>X-Man Shadow V3</t>
  </si>
  <si>
    <t>Magnetic, Ball-Core, UV</t>
  </si>
  <si>
    <t>7x7</t>
  </si>
  <si>
    <t>X-Man Spark V2</t>
  </si>
  <si>
    <t>Magnetic, Ball-Core</t>
  </si>
  <si>
    <t>MoYu AoFu V5</t>
  </si>
  <si>
    <t>Double-Track</t>
  </si>
  <si>
    <t>Triple-Track</t>
  </si>
  <si>
    <t>Clock</t>
  </si>
  <si>
    <t>QiYi</t>
  </si>
  <si>
    <t>Standart</t>
  </si>
  <si>
    <t>Pink</t>
  </si>
  <si>
    <t>Apple green</t>
  </si>
  <si>
    <t>Glacier blue</t>
  </si>
  <si>
    <t>Lilac</t>
  </si>
  <si>
    <t>ShengShou V2</t>
  </si>
  <si>
    <t>ShengShou</t>
  </si>
  <si>
    <t>Megaminx</t>
  </si>
  <si>
    <t>DaYan V2</t>
  </si>
  <si>
    <t>DaYan Pro</t>
  </si>
  <si>
    <t>Magnetic, Ball-Core, Large</t>
  </si>
  <si>
    <t>GAN V2</t>
  </si>
  <si>
    <t>Magnetic, MagLev, Ball-Core</t>
  </si>
  <si>
    <t>Magnetic, MagLev, Ball-Core, UV</t>
  </si>
  <si>
    <t>YJ YuHu</t>
  </si>
  <si>
    <t>Magnetic, MagLev, Ball-Core, UV, Black</t>
  </si>
  <si>
    <t>Pyraminx</t>
  </si>
  <si>
    <t>MoYu AoChuang V6</t>
  </si>
  <si>
    <t>DaYan V3</t>
  </si>
  <si>
    <t>GAN</t>
  </si>
  <si>
    <t>Magnetic, Enhanced</t>
  </si>
  <si>
    <t>Magnetic, Enhanced, UV</t>
  </si>
  <si>
    <t>MoYu WeiLong</t>
  </si>
  <si>
    <t>Magnetic, MagLev</t>
  </si>
  <si>
    <t>MoYu RS3</t>
  </si>
  <si>
    <t>QiYi X-Man Bell V2</t>
  </si>
  <si>
    <t>Skewb</t>
  </si>
  <si>
    <t>MoYu Weilong</t>
  </si>
  <si>
    <t>MoYu RS</t>
  </si>
  <si>
    <t>X-Man Wingy V2</t>
  </si>
  <si>
    <t>Square-1</t>
  </si>
  <si>
    <t>YJ MGC V2</t>
  </si>
  <si>
    <t>YuXin Little Magic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</si>
</sst>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\ [$€-426]_-;\-* #,##0.00\ [$€-426]_-;_-* &quot;-&quot;??\ [$€-426]_-;_-@_-"/>
    <numFmt numFmtId="165" formatCode="_([$$-409]* #,##0.00_);_([$$-409]* \(#,##0.00\);_([$$-409]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Inter_FXH"/>
      <family val="2"/>
    </font>
    <font>
      <b/>
      <sz val="14"/>
      <color theme="1"/>
      <name val="Inter_FXH"/>
      <family val="2"/>
    </font>
    <font>
      <b/>
      <sz val="12"/>
      <color theme="1"/>
      <name val="Inter_FXH"/>
      <family val="2"/>
    </font>
    <font>
      <sz val="12"/>
      <color theme="1"/>
      <name val="Inter_FXH"/>
      <family val="2"/>
    </font>
    <font>
      <u/>
      <sz val="12"/>
      <color theme="10"/>
      <name val="Inter_FXH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0" fontId="5" fillId="0" borderId="0" xfId="0" applyFont="1"/>
    <xf numFmtId="164" fontId="4" fillId="0" borderId="0" xfId="0" applyNumberFormat="1" applyFont="1" applyAlignment="1">
      <alignment horizontal="right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1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9" xfId="0" applyFont="1" applyFill="1" applyBorder="1"/>
    <xf numFmtId="0" fontId="5" fillId="0" borderId="10" xfId="0" applyFont="1" applyFill="1" applyBorder="1"/>
    <xf numFmtId="0" fontId="6" fillId="0" borderId="10" xfId="0" applyFont="1" applyFill="1" applyBorder="1"/>
    <xf numFmtId="165" fontId="6" fillId="0" borderId="10" xfId="0" applyNumberFormat="1" applyFont="1" applyFill="1" applyBorder="1"/>
    <xf numFmtId="164" fontId="6" fillId="0" borderId="10" xfId="0" applyNumberFormat="1" applyFont="1" applyFill="1" applyBorder="1"/>
    <xf numFmtId="164" fontId="4" fillId="0" borderId="10" xfId="0" applyNumberFormat="1" applyFont="1" applyFill="1" applyBorder="1" applyAlignment="1">
      <alignment horizontal="right"/>
    </xf>
    <xf numFmtId="164" fontId="6" fillId="0" borderId="11" xfId="0" applyNumberFormat="1" applyFont="1" applyFill="1" applyBorder="1"/>
    <xf numFmtId="0" fontId="5" fillId="0" borderId="2" xfId="0" applyFont="1" applyFill="1" applyBorder="1"/>
    <xf numFmtId="0" fontId="6" fillId="0" borderId="2" xfId="0" applyFont="1" applyFill="1" applyBorder="1"/>
    <xf numFmtId="165" fontId="7" fillId="0" borderId="2" xfId="2" applyNumberFormat="1" applyFont="1" applyFill="1" applyBorder="1"/>
    <xf numFmtId="164" fontId="6" fillId="0" borderId="2" xfId="0" applyNumberFormat="1" applyFont="1" applyFill="1" applyBorder="1"/>
    <xf numFmtId="164" fontId="6" fillId="0" borderId="3" xfId="0" applyNumberFormat="1" applyFont="1" applyFill="1" applyBorder="1"/>
    <xf numFmtId="0" fontId="5" fillId="0" borderId="0" xfId="0" applyFont="1" applyFill="1"/>
    <xf numFmtId="0" fontId="6" fillId="0" borderId="0" xfId="0" applyFont="1" applyFill="1"/>
    <xf numFmtId="165" fontId="7" fillId="0" borderId="0" xfId="2" applyNumberFormat="1" applyFont="1" applyFill="1" applyBorder="1"/>
    <xf numFmtId="164" fontId="6" fillId="0" borderId="0" xfId="0" applyNumberFormat="1" applyFont="1" applyFill="1"/>
    <xf numFmtId="164" fontId="4" fillId="0" borderId="0" xfId="0" applyNumberFormat="1" applyFont="1" applyFill="1" applyAlignment="1">
      <alignment horizontal="right"/>
    </xf>
    <xf numFmtId="164" fontId="6" fillId="0" borderId="5" xfId="0" applyNumberFormat="1" applyFont="1" applyFill="1" applyBorder="1"/>
    <xf numFmtId="0" fontId="5" fillId="0" borderId="7" xfId="0" applyFont="1" applyFill="1" applyBorder="1"/>
    <xf numFmtId="0" fontId="6" fillId="0" borderId="7" xfId="0" applyFont="1" applyFill="1" applyBorder="1"/>
    <xf numFmtId="44" fontId="7" fillId="0" borderId="7" xfId="1" applyFont="1" applyFill="1" applyBorder="1"/>
    <xf numFmtId="164" fontId="6" fillId="0" borderId="7" xfId="0" applyNumberFormat="1" applyFont="1" applyFill="1" applyBorder="1"/>
    <xf numFmtId="164" fontId="4" fillId="0" borderId="7" xfId="0" applyNumberFormat="1" applyFont="1" applyFill="1" applyBorder="1" applyAlignment="1">
      <alignment horizontal="right"/>
    </xf>
    <xf numFmtId="164" fontId="6" fillId="0" borderId="8" xfId="0" applyNumberFormat="1" applyFont="1" applyFill="1" applyBorder="1"/>
    <xf numFmtId="0" fontId="4" fillId="0" borderId="1" xfId="0" applyFont="1" applyFill="1" applyBorder="1"/>
    <xf numFmtId="165" fontId="6" fillId="0" borderId="2" xfId="0" applyNumberFormat="1" applyFont="1" applyFill="1" applyBorder="1"/>
    <xf numFmtId="164" fontId="4" fillId="0" borderId="2" xfId="0" applyNumberFormat="1" applyFont="1" applyFill="1" applyBorder="1" applyAlignment="1">
      <alignment horizontal="right"/>
    </xf>
    <xf numFmtId="165" fontId="7" fillId="0" borderId="7" xfId="2" applyNumberFormat="1" applyFont="1" applyFill="1" applyBorder="1"/>
    <xf numFmtId="0" fontId="4" fillId="0" borderId="0" xfId="0" applyFont="1"/>
    <xf numFmtId="0" fontId="4" fillId="0" borderId="4" xfId="0" applyFont="1" applyFill="1" applyBorder="1"/>
    <xf numFmtId="0" fontId="4" fillId="0" borderId="6" xfId="0" applyFont="1" applyFill="1" applyBorder="1"/>
    <xf numFmtId="0" fontId="5" fillId="0" borderId="0" xfId="0" applyFont="1" applyBorder="1"/>
    <xf numFmtId="0" fontId="6" fillId="0" borderId="0" xfId="0" applyFont="1" applyBorder="1"/>
    <xf numFmtId="164" fontId="6" fillId="0" borderId="0" xfId="0" applyNumberFormat="1" applyFont="1" applyBorder="1"/>
    <xf numFmtId="164" fontId="4" fillId="0" borderId="0" xfId="0" applyNumberFormat="1" applyFont="1" applyBorder="1" applyAlignment="1">
      <alignment horizontal="right"/>
    </xf>
    <xf numFmtId="0" fontId="5" fillId="0" borderId="0" xfId="0" applyFont="1" applyFill="1" applyBorder="1"/>
    <xf numFmtId="0" fontId="6" fillId="0" borderId="0" xfId="0" applyFont="1" applyFill="1" applyBorder="1"/>
    <xf numFmtId="164" fontId="6" fillId="0" borderId="0" xfId="0" applyNumberFormat="1" applyFont="1" applyFill="1" applyBorder="1"/>
    <xf numFmtId="164" fontId="4" fillId="0" borderId="0" xfId="0" applyNumberFormat="1" applyFont="1" applyFill="1" applyBorder="1" applyAlignment="1">
      <alignment horizontal="right"/>
    </xf>
    <xf numFmtId="0" fontId="4" fillId="0" borderId="9" xfId="0" applyFont="1" applyBorder="1"/>
    <xf numFmtId="0" fontId="5" fillId="0" borderId="10" xfId="0" applyFont="1" applyBorder="1"/>
    <xf numFmtId="0" fontId="6" fillId="0" borderId="10" xfId="0" applyFont="1" applyBorder="1"/>
    <xf numFmtId="165" fontId="6" fillId="0" borderId="10" xfId="0" applyNumberFormat="1" applyFont="1" applyBorder="1"/>
    <xf numFmtId="164" fontId="6" fillId="0" borderId="10" xfId="0" applyNumberFormat="1" applyFont="1" applyBorder="1"/>
    <xf numFmtId="164" fontId="4" fillId="0" borderId="10" xfId="0" applyNumberFormat="1" applyFont="1" applyBorder="1" applyAlignment="1">
      <alignment horizontal="right"/>
    </xf>
    <xf numFmtId="164" fontId="6" fillId="0" borderId="11" xfId="0" applyNumberFormat="1" applyFont="1" applyBorder="1"/>
    <xf numFmtId="0" fontId="4" fillId="0" borderId="1" xfId="0" applyFont="1" applyBorder="1"/>
    <xf numFmtId="0" fontId="5" fillId="0" borderId="2" xfId="0" applyFont="1" applyBorder="1"/>
    <xf numFmtId="0" fontId="6" fillId="0" borderId="2" xfId="0" applyFont="1" applyBorder="1"/>
    <xf numFmtId="164" fontId="6" fillId="0" borderId="2" xfId="0" applyNumberFormat="1" applyFont="1" applyBorder="1"/>
    <xf numFmtId="164" fontId="4" fillId="0" borderId="2" xfId="0" applyNumberFormat="1" applyFont="1" applyBorder="1" applyAlignment="1">
      <alignment horizontal="right"/>
    </xf>
    <xf numFmtId="164" fontId="6" fillId="0" borderId="3" xfId="0" applyNumberFormat="1" applyFont="1" applyBorder="1"/>
    <xf numFmtId="0" fontId="4" fillId="0" borderId="4" xfId="0" applyFont="1" applyBorder="1"/>
    <xf numFmtId="164" fontId="6" fillId="0" borderId="5" xfId="0" applyNumberFormat="1" applyFont="1" applyBorder="1"/>
    <xf numFmtId="0" fontId="4" fillId="0" borderId="6" xfId="0" applyFont="1" applyBorder="1"/>
    <xf numFmtId="0" fontId="5" fillId="0" borderId="7" xfId="0" applyFont="1" applyBorder="1"/>
    <xf numFmtId="0" fontId="6" fillId="0" borderId="7" xfId="0" applyFont="1" applyBorder="1"/>
    <xf numFmtId="164" fontId="6" fillId="0" borderId="7" xfId="0" applyNumberFormat="1" applyFont="1" applyBorder="1"/>
    <xf numFmtId="164" fontId="4" fillId="0" borderId="7" xfId="0" applyNumberFormat="1" applyFont="1" applyBorder="1" applyAlignment="1">
      <alignment horizontal="right"/>
    </xf>
    <xf numFmtId="164" fontId="6" fillId="0" borderId="8" xfId="0" applyNumberFormat="1" applyFont="1" applyBorder="1"/>
    <xf numFmtId="165" fontId="7" fillId="0" borderId="2" xfId="2" applyNumberFormat="1" applyFont="1" applyBorder="1"/>
    <xf numFmtId="165" fontId="7" fillId="0" borderId="0" xfId="2" applyNumberFormat="1" applyFont="1" applyBorder="1"/>
    <xf numFmtId="44" fontId="7" fillId="0" borderId="0" xfId="1" applyFont="1" applyFill="1" applyBorder="1"/>
    <xf numFmtId="165" fontId="7" fillId="0" borderId="7" xfId="2" applyNumberFormat="1" applyFont="1" applyBorder="1"/>
  </cellXfs>
  <cellStyles count="3">
    <cellStyle name="Hipersaite" xfId="2" builtinId="8"/>
    <cellStyle name="Parasts" xfId="0" builtinId="0"/>
    <cellStyle name="Valūta" xfId="1" builtinId="4"/>
  </cellStyles>
  <dxfs count="0"/>
  <tableStyles count="0" defaultTableStyle="TableStyleMedium2" defaultPivotStyle="PivotStyleLight16"/>
  <colors>
    <mruColors>
      <color rgb="FF93D3FF"/>
      <color rgb="FF0099FF"/>
      <color rgb="FFCFB7FF"/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ubezz.com/Buy-6860-MoYu+Classroom+RS2M+V2+2x2x2+Magnetic+Speed+Cube+Stickerless.html" TargetMode="External"/><Relationship Id="rId21" Type="http://schemas.openxmlformats.org/officeDocument/2006/relationships/hyperlink" Target="https://cubezz.com/Buy-8003-MoYu+Culture+WeiPo+V5+2x2x2+20-Magnet+Ball+Core+Magic+Cloth+Version.html" TargetMode="External"/><Relationship Id="rId42" Type="http://schemas.openxmlformats.org/officeDocument/2006/relationships/hyperlink" Target="https://cubezz.com/Buy-6236-Classroom+Meilong+M+5x5x5+Magnetic+Magic+Cube+Stickerless.html" TargetMode="External"/><Relationship Id="rId47" Type="http://schemas.openxmlformats.org/officeDocument/2006/relationships/hyperlink" Target="https://cubezz.com/Buy-7415-MoYu+MFJS+MeiLong+6M+V2+Magnetic+6x6x6+Magic+Cube+Stickerless.html" TargetMode="External"/><Relationship Id="rId63" Type="http://schemas.openxmlformats.org/officeDocument/2006/relationships/hyperlink" Target="https://cubezz.com/Buy-7475-DaYan+Megaminx+Pro+M+Speed+Cube+Stickerless.html" TargetMode="External"/><Relationship Id="rId68" Type="http://schemas.openxmlformats.org/officeDocument/2006/relationships/hyperlink" Target="https://cubezz.com/Buy-6257-QiYi+X-MAN+Design+Magnetic+Pyraminx-Bell+V2+Stickerless.html" TargetMode="External"/><Relationship Id="rId84" Type="http://schemas.openxmlformats.org/officeDocument/2006/relationships/hyperlink" Target="https://cubezz.com/Buy-6937-QiYi+X-Man+Design+Wingy+V2+Skewb+Speed+Cube+Stickerless.html" TargetMode="External"/><Relationship Id="rId89" Type="http://schemas.openxmlformats.org/officeDocument/2006/relationships/hyperlink" Target="https://cubezz.com/Buy-5959-YuXin+Little+Magic+M+SQ-1+Magnetic+Magic+Cube+Stickerless.html" TargetMode="External"/><Relationship Id="rId16" Type="http://schemas.openxmlformats.org/officeDocument/2006/relationships/hyperlink" Target="https://cubezz.com/Buy-7709-Classroom+Meilong+3M+V2+3x3+Magnetic+Cube+Stickerless.html" TargetMode="External"/><Relationship Id="rId11" Type="http://schemas.openxmlformats.org/officeDocument/2006/relationships/hyperlink" Target="https://cubezz.com/Buy-7453-MoYu+MoFangJiaoShi+RS3M+V5+3x3x3+Speed+Cube+Ball-Core+Magic+Cloth++Robot+Version.html" TargetMode="External"/><Relationship Id="rId32" Type="http://schemas.openxmlformats.org/officeDocument/2006/relationships/hyperlink" Target="https://cubezz.com/Buy-7690-YongJun+MGC+Magnetic+4x4x4+Speed+Cube+Speed-micro+Actuator+Version.html" TargetMode="External"/><Relationship Id="rId37" Type="http://schemas.openxmlformats.org/officeDocument/2006/relationships/hyperlink" Target="https://cubezz.com/Buy-7886-MoYu+Culture+AoChuang+V6+5x5+Speed+Cube+Single-Track+Magnetic+Version+Magic+Cloth+Version.html" TargetMode="External"/><Relationship Id="rId53" Type="http://schemas.openxmlformats.org/officeDocument/2006/relationships/hyperlink" Target="https://cubezz.com/Buy-6297-YongJun+MGC+Magnetic+7x7x7+Speed+Cube+Stickerless.html" TargetMode="External"/><Relationship Id="rId58" Type="http://schemas.openxmlformats.org/officeDocument/2006/relationships/hyperlink" Target="https://cubezz.com/Buy-8002-QiYi+ChuanShi+Magnetic+Magic+Clock+Lilac.html" TargetMode="External"/><Relationship Id="rId74" Type="http://schemas.openxmlformats.org/officeDocument/2006/relationships/hyperlink" Target="https://cubezz.com/Buy-6799-MoYu+Weilong+M+Magnetic+Pyraminx+Speed+Cube+Stickerless.html" TargetMode="External"/><Relationship Id="rId79" Type="http://schemas.openxmlformats.org/officeDocument/2006/relationships/hyperlink" Target="https://cubezz.com/Buy-7102-MoYu+RS+MagLev+Skewb+Speed+Cube+Stickerless.html" TargetMode="External"/><Relationship Id="rId5" Type="http://schemas.openxmlformats.org/officeDocument/2006/relationships/hyperlink" Target="https://cubezz.com/Buy-8210-MoYu+WeiLong+V11+3x3x3+Speed+Cube+Magnetic+Magic+Cloth+Version.html" TargetMode="External"/><Relationship Id="rId90" Type="http://schemas.openxmlformats.org/officeDocument/2006/relationships/hyperlink" Target="https://cubezz.com/Buy-7911-QiYi+ChuanShi+Magnetic+Magic+Clock+Glacier+Blue.html" TargetMode="External"/><Relationship Id="rId14" Type="http://schemas.openxmlformats.org/officeDocument/2006/relationships/hyperlink" Target="https://cubezz.com/Buy-7454-MoYu+MoFangJiaoShi+RS3M+V5+3x3x3+Speed+Cube+MagLev++Robot+Version.html" TargetMode="External"/><Relationship Id="rId22" Type="http://schemas.openxmlformats.org/officeDocument/2006/relationships/hyperlink" Target="https://cubezz.com/Buy-6715-MoYu+WeiPo+WRS+5-level+Magnets+Adjustable+2x2x2+Speeed+Cube+Stickerless.html" TargetMode="External"/><Relationship Id="rId27" Type="http://schemas.openxmlformats.org/officeDocument/2006/relationships/hyperlink" Target="https://cubezz.com/Buy-7860-MoYu+Culture+AoSu+V7+4x4+Speed+Cube+Single-Track+Magnetic+Version.html" TargetMode="External"/><Relationship Id="rId30" Type="http://schemas.openxmlformats.org/officeDocument/2006/relationships/hyperlink" Target="https://cubezz.com/Buy-7857-MoYu+Culture+AoSu+V7+4x4+Speed+Cube+Triple-Track+Magnetic+Magic+Cloth+Version.html" TargetMode="External"/><Relationship Id="rId35" Type="http://schemas.openxmlformats.org/officeDocument/2006/relationships/hyperlink" Target="https://cubezz.com/Buy-6309-MoYu+Classroom+RS4+M+2020+4x4x4+Magnetic+Magic+Cube+Stickerless.html" TargetMode="External"/><Relationship Id="rId43" Type="http://schemas.openxmlformats.org/officeDocument/2006/relationships/hyperlink" Target="https://cubezz.com/Buy-6162-YongJun+MGC+5+Magnetic+5x5x5+Stickerless+Speed+Cube.html" TargetMode="External"/><Relationship Id="rId48" Type="http://schemas.openxmlformats.org/officeDocument/2006/relationships/hyperlink" Target="https://cubezz.com/Buy-7954-QiYi+MoFangGe+XMD+Spark+V2+Core+Magnetic+7x7x7+Speed+Cube+Stickerless.html" TargetMode="External"/><Relationship Id="rId56" Type="http://schemas.openxmlformats.org/officeDocument/2006/relationships/hyperlink" Target="https://cubezz.com/Buy-8367-QiYi+ChuanShi+Magnetic+Magic+Clock+Pink.html/" TargetMode="External"/><Relationship Id="rId64" Type="http://schemas.openxmlformats.org/officeDocument/2006/relationships/hyperlink" Target="https://cubezz.com/Buy-7681-GAN+Ball-core+Megaminx+Maglev+UV+Coated+Grey+Version.html" TargetMode="External"/><Relationship Id="rId69" Type="http://schemas.openxmlformats.org/officeDocument/2006/relationships/hyperlink" Target="https://cubezz.com/Buy-8200-DaYan+Pyraminx+V3+M+Core-Magnet+Cube+Stickerless.html" TargetMode="External"/><Relationship Id="rId77" Type="http://schemas.openxmlformats.org/officeDocument/2006/relationships/hyperlink" Target="https://cubezz.com/Buy-6969-MoYu+RS+MagLev+Pyraminx+Speed+Cube+Stickerless.html" TargetMode="External"/><Relationship Id="rId8" Type="http://schemas.openxmlformats.org/officeDocument/2006/relationships/hyperlink" Target="https://cubezz.com/Buy-6788-Gan12+Maglev+UV+3x3x3+Speed+Cube+Sticerless.html" TargetMode="External"/><Relationship Id="rId51" Type="http://schemas.openxmlformats.org/officeDocument/2006/relationships/hyperlink" Target="https://cubezz.com/Buy-8305-MoYu+Culture+AoFu+V5+7x7+Speed+Cube+Dual-Track+Magnetic+Version.html" TargetMode="External"/><Relationship Id="rId72" Type="http://schemas.openxmlformats.org/officeDocument/2006/relationships/hyperlink" Target="https://cubezz.com/Buy-6301-Gan+Pyraminx+M+Cube+Enhanced+Core+Positioning+Edition.html" TargetMode="External"/><Relationship Id="rId80" Type="http://schemas.openxmlformats.org/officeDocument/2006/relationships/hyperlink" Target="https://cubezz.com/Buy-6980-MoYu+RS+Magnetic+Skewb+Speed+Cube+Stickerless.html" TargetMode="External"/><Relationship Id="rId85" Type="http://schemas.openxmlformats.org/officeDocument/2006/relationships/hyperlink" Target="https://cubezz.com/Buy-8145-DaYan+Skewb+V2+M+Standard+Matte+Spring+Version.html" TargetMode="External"/><Relationship Id="rId3" Type="http://schemas.openxmlformats.org/officeDocument/2006/relationships/hyperlink" Target="https://cubezz.com/Buy-8342-GAN16+Maglev+Max+UV+Coated.html" TargetMode="External"/><Relationship Id="rId12" Type="http://schemas.openxmlformats.org/officeDocument/2006/relationships/hyperlink" Target="https://cubezz.com/Buy-7457-MoYu+MoFangJiaoShi+RS3M+V5+3x3x3+Speed+Cube+Magnetic+Version.html" TargetMode="External"/><Relationship Id="rId17" Type="http://schemas.openxmlformats.org/officeDocument/2006/relationships/hyperlink" Target="https://cubezz.com/Buy-6932-GAN251+M+Leap+UV+Magnetic+2x2x2+Speed+Cube+Stickerless.html" TargetMode="External"/><Relationship Id="rId25" Type="http://schemas.openxmlformats.org/officeDocument/2006/relationships/hyperlink" Target="https://cubezz.com/Buy-5771-YongJun+MGC+Magnetic+2x2x2+Speed+Cube+Stickerless.html" TargetMode="External"/><Relationship Id="rId33" Type="http://schemas.openxmlformats.org/officeDocument/2006/relationships/hyperlink" Target="https://cubezz.com/Buy-7652-YongJun+MGC+Magnetic+4x4x4+Speed+Cube+UV+Version.html" TargetMode="External"/><Relationship Id="rId38" Type="http://schemas.openxmlformats.org/officeDocument/2006/relationships/hyperlink" Target="https://cubezz.com/Buy-7887-MoYu+Culture+AoChuang+V6+5x5+Speed+Cube+Dual-Track+Magnetic+Version+Magic+Cloth+Version.html" TargetMode="External"/><Relationship Id="rId46" Type="http://schemas.openxmlformats.org/officeDocument/2006/relationships/hyperlink" Target="https://cubezz.com/Buy-6164-YongJun+MGC+6+Magnetic+6x6x6+Stickerless+Speed+Cube.html" TargetMode="External"/><Relationship Id="rId59" Type="http://schemas.openxmlformats.org/officeDocument/2006/relationships/hyperlink" Target="https://cubezz.com/Buy-8296-SengSo+Dragon+Scale+Magnetic+Magic+Clock.html" TargetMode="External"/><Relationship Id="rId67" Type="http://schemas.openxmlformats.org/officeDocument/2006/relationships/hyperlink" Target="https://cubezz.com/Buy-6181-YongJun+YuHu+M+Magnetic+Megaminx+Stickerless+Speed+Cube.html" TargetMode="External"/><Relationship Id="rId20" Type="http://schemas.openxmlformats.org/officeDocument/2006/relationships/hyperlink" Target="https://cubezz.com/Buy-6676-GAN251+M+Air+Magnetic+2x2x2+Speed+Cube+Stickerless.html" TargetMode="External"/><Relationship Id="rId41" Type="http://schemas.openxmlformats.org/officeDocument/2006/relationships/hyperlink" Target="https://cubezz.com/Buy-7762-Gan562+M+Magnetic+5x5x5+Speed+Cube+Sticerless+UV+Version.html" TargetMode="External"/><Relationship Id="rId54" Type="http://schemas.openxmlformats.org/officeDocument/2006/relationships/hyperlink" Target="https://cubezz.com/Buy-7431-MoYu+MFJS+MeiLong+7M+V2+Magnetic+7x7x7+Magic+Cube+Stickerless.html" TargetMode="External"/><Relationship Id="rId62" Type="http://schemas.openxmlformats.org/officeDocument/2006/relationships/hyperlink" Target="https://cubezz.com/Buy-7588-DaYan+Megaminx+Pro+ML+Speed+Cube+Stickerless.html" TargetMode="External"/><Relationship Id="rId70" Type="http://schemas.openxmlformats.org/officeDocument/2006/relationships/hyperlink" Target="https://cubezz.com/Buy-8199-DaYan+Pyraminx+V3+M+Core-Magnet+MagLev+UV+Version.html" TargetMode="External"/><Relationship Id="rId75" Type="http://schemas.openxmlformats.org/officeDocument/2006/relationships/hyperlink" Target="https://cubezz.com/Buy-6800-MoYu+Weilong+MagLev+Pyraminx+Speed+Cube+Stickerless.html" TargetMode="External"/><Relationship Id="rId83" Type="http://schemas.openxmlformats.org/officeDocument/2006/relationships/hyperlink" Target="https://cubezz.com/Buy-6934-GAN+Skewb+M+Enhanced+Core+Positioning+UV+Edition.html" TargetMode="External"/><Relationship Id="rId88" Type="http://schemas.openxmlformats.org/officeDocument/2006/relationships/hyperlink" Target="https://cubezz.com/Buy-6604-YongJun+MGC+Magnetic+SQ-1+Speed+Cube+Stickerless.html" TargetMode="External"/><Relationship Id="rId1" Type="http://schemas.openxmlformats.org/officeDocument/2006/relationships/hyperlink" Target="https://cubezz.com/Buy-7873-QiYi+X-Man+Design+Tornado+V4+3x3x3+Speed+Cube+Pioneer+UV+Version.html" TargetMode="External"/><Relationship Id="rId6" Type="http://schemas.openxmlformats.org/officeDocument/2006/relationships/hyperlink" Target="https://cubezz.com/Buy-8209-MoYu+WeiLong+V11+8-Magnet+Ball-core+3x3x3+Speed+Cube+Magic+Cloth+Version.html" TargetMode="External"/><Relationship Id="rId15" Type="http://schemas.openxmlformats.org/officeDocument/2006/relationships/hyperlink" Target="https://cubezz.com/Buy-7454-MoYu+MoFangJiaoShi+RS3M+V5+3x3x3+Speed+Cube+MagLev++Robot+Version.html" TargetMode="External"/><Relationship Id="rId23" Type="http://schemas.openxmlformats.org/officeDocument/2006/relationships/hyperlink" Target="https://cubezz.com/Buy-8375-YongJun+MGC+2+BETA+2x2x2+Speed+Cube+Basic+Magnetic+Version.html/" TargetMode="External"/><Relationship Id="rId28" Type="http://schemas.openxmlformats.org/officeDocument/2006/relationships/hyperlink" Target="https://cubezz.com/Buy-7859-MoYu+Culture+AoSu+V7+4x4+Speed+Cube+Single-Track+Magnetic+Magic+Cloth+Version.html" TargetMode="External"/><Relationship Id="rId36" Type="http://schemas.openxmlformats.org/officeDocument/2006/relationships/hyperlink" Target="https://cubezz.com/Buy-7885-MoYu+Culture+AoChuang+V6+5x5+Speed+Cube+Single-Track+Magnetic+Version.html" TargetMode="External"/><Relationship Id="rId49" Type="http://schemas.openxmlformats.org/officeDocument/2006/relationships/hyperlink" Target="https://cubezz.com/Buy-7046-MoYu+AoFu+WR+M+7x7x7+Magnetic+Speed+Cube+Stickerless.html" TargetMode="External"/><Relationship Id="rId57" Type="http://schemas.openxmlformats.org/officeDocument/2006/relationships/hyperlink" Target="https://cubezz.com/Buy-8151-QiYi+ChuanShi+Magnetic+Magic+Clock+Apple+Green.html/" TargetMode="External"/><Relationship Id="rId10" Type="http://schemas.openxmlformats.org/officeDocument/2006/relationships/hyperlink" Target="https://cubezz.com/Buy-6777-Gan12+Maglev+3x3x3+Speed+Cube+Sticerless+Tiled+Primary+Core.html" TargetMode="External"/><Relationship Id="rId31" Type="http://schemas.openxmlformats.org/officeDocument/2006/relationships/hyperlink" Target="https://cubezz.com/Buy-8181-GAN460+M+V2+4x4x4+Enhanced+Core+Positioning+Magnetic+Speed+Cube.html" TargetMode="External"/><Relationship Id="rId44" Type="http://schemas.openxmlformats.org/officeDocument/2006/relationships/hyperlink" Target="https://cubezz.com/Buy-8188-QiYi+MoFangGe+XMD+Shadow+V3+Core+Magnetic+6x6x6+Speed+Cube+UV+Version.html" TargetMode="External"/><Relationship Id="rId52" Type="http://schemas.openxmlformats.org/officeDocument/2006/relationships/hyperlink" Target="https://cubezz.com/Buy-8304-MoYu+Culture+AoFu+V5+7x7+Speed+Cube+Triple-Track+Magnetic+Version.html" TargetMode="External"/><Relationship Id="rId60" Type="http://schemas.openxmlformats.org/officeDocument/2006/relationships/hyperlink" Target="https://cubezz.com/Buy-6255-SengSo+Magnetic+Magic+Clock.html" TargetMode="External"/><Relationship Id="rId65" Type="http://schemas.openxmlformats.org/officeDocument/2006/relationships/hyperlink" Target="https://cubezz.com/Buy-7828-GAN+Ball-core+Megaminx+Maglev+UV+Coated+Black+Version.html" TargetMode="External"/><Relationship Id="rId73" Type="http://schemas.openxmlformats.org/officeDocument/2006/relationships/hyperlink" Target="https://cubezz.com/Buy-6933-Gan+Pyraminx+M+Cube+Enhanced+Core+Positioning+UV+Edition.html" TargetMode="External"/><Relationship Id="rId78" Type="http://schemas.openxmlformats.org/officeDocument/2006/relationships/hyperlink" Target="https://cubezz.com/Buy-7015-MoYu+Weilong+MagLev+Skewb+Speed+Cube+Stickerless.html" TargetMode="External"/><Relationship Id="rId81" Type="http://schemas.openxmlformats.org/officeDocument/2006/relationships/hyperlink" Target="https://cubezz.com/Buy-6412-GAN+Skewb+M+Core+Positioning+Edition.html" TargetMode="External"/><Relationship Id="rId86" Type="http://schemas.openxmlformats.org/officeDocument/2006/relationships/hyperlink" Target="https://cubezz.com/Buy-8144-DaYan+Skewb+V2+M+MagLev+UV+Version.html" TargetMode="External"/><Relationship Id="rId4" Type="http://schemas.openxmlformats.org/officeDocument/2006/relationships/hyperlink" Target="https://cubezz.com/Buy-8211-MoYu+WeiLong+V11+3x3x3+Speed+Cube+Magnetic+Version.html" TargetMode="External"/><Relationship Id="rId9" Type="http://schemas.openxmlformats.org/officeDocument/2006/relationships/hyperlink" Target="https://cubezz.com/Buy-6787-Gan12+M+Leap+3x3x3+Speed+Cube+Sticerless.html" TargetMode="External"/><Relationship Id="rId13" Type="http://schemas.openxmlformats.org/officeDocument/2006/relationships/hyperlink" Target="https://cubezz.com/Buy-7456-MoYu+MoFangJiaoShi+RS3M+V5+3x3x3+Speed+Cube+Magnetic+Dual+Adjustment+Version.html" TargetMode="External"/><Relationship Id="rId18" Type="http://schemas.openxmlformats.org/officeDocument/2006/relationships/hyperlink" Target="https://cubezz.com/Buy-6678-GAN251+M+Pro+Leap+Magnetic+2x2x2+Speed+Cube+Stickerless.html" TargetMode="External"/><Relationship Id="rId39" Type="http://schemas.openxmlformats.org/officeDocument/2006/relationships/hyperlink" Target="https://cubezz.com/Buy-7888-MoYu+Culture+AoChuang+V6+5x5+Speed+Cube+Triple-Track+Magnetic+Version+Magic+Cloth+Version.html" TargetMode="External"/><Relationship Id="rId34" Type="http://schemas.openxmlformats.org/officeDocument/2006/relationships/hyperlink" Target="https://cubezz.com/Buy-6222-YongJun+MGC+Magnetic+4x4x4+Speed+Cube+Stickerless.html" TargetMode="External"/><Relationship Id="rId50" Type="http://schemas.openxmlformats.org/officeDocument/2006/relationships/hyperlink" Target="https://cubezz.com/Buy-8306-MoYu+Culture+AoFu+V5+7x7+Speed+Cube+Single-Track+Magnetic+Version.html" TargetMode="External"/><Relationship Id="rId55" Type="http://schemas.openxmlformats.org/officeDocument/2006/relationships/hyperlink" Target="https://cubezz.com/Buy-6292-QiYi+ChuanShi+Double-faced+Magnetic+Magic+Clock.html" TargetMode="External"/><Relationship Id="rId76" Type="http://schemas.openxmlformats.org/officeDocument/2006/relationships/hyperlink" Target="https://cubezz.com/Buy-6968-MoYu+RS+Magnetic+Pyraminx+Speed+Cube+Stickerless.html" TargetMode="External"/><Relationship Id="rId7" Type="http://schemas.openxmlformats.org/officeDocument/2006/relationships/hyperlink" Target="https://cubezz.com/Buy-8208-MoYu+WeiLong+V11+20-Magnet+3x3x3+Speed+Cube+MagLev+Ball-core+Magic+Cloth+Version.html" TargetMode="External"/><Relationship Id="rId71" Type="http://schemas.openxmlformats.org/officeDocument/2006/relationships/hyperlink" Target="https://cubezz.com/Buy-6299-Gan+Pyraminx+M+Cube+Core+Positioning-Standard+Edition.html" TargetMode="External"/><Relationship Id="rId2" Type="http://schemas.openxmlformats.org/officeDocument/2006/relationships/hyperlink" Target="https://cubezz.com/Buy-7872-QiYi+X-Man+Design+Tornado+V4+3x3x3+Speed+Cube+Flagship+Version.html" TargetMode="External"/><Relationship Id="rId29" Type="http://schemas.openxmlformats.org/officeDocument/2006/relationships/hyperlink" Target="https://cubezz.com/Buy-7858-MoYu+Culture+AoSu+V7+4x4+Speed+Cube+Dual-Track+Magnetic+Magic+Cloth+Version.html" TargetMode="External"/><Relationship Id="rId24" Type="http://schemas.openxmlformats.org/officeDocument/2006/relationships/hyperlink" Target="https://cubezz.com/Buy-8374-YongJun+MGC+2+BETA+Full+Magnetic+2x2x2+Speed+Cube+UV+Version.html" TargetMode="External"/><Relationship Id="rId40" Type="http://schemas.openxmlformats.org/officeDocument/2006/relationships/hyperlink" Target="https://cubezz.com/Buy-7761-Gan562+M+Magnetic+5x5x5+Speed+Cube+Sticerless.html" TargetMode="External"/><Relationship Id="rId45" Type="http://schemas.openxmlformats.org/officeDocument/2006/relationships/hyperlink" Target="https://cubezz.com/Buy-7086-MoYu+AoShi+WR+M+6x6x6+Magnetic+Speed+Cube+Stickerless.html" TargetMode="External"/><Relationship Id="rId66" Type="http://schemas.openxmlformats.org/officeDocument/2006/relationships/hyperlink" Target="https://cubezz.com/Buy-6041-Gan+Megaminx+Cube+Stickerless.html" TargetMode="External"/><Relationship Id="rId87" Type="http://schemas.openxmlformats.org/officeDocument/2006/relationships/hyperlink" Target="https://cubezz.com/Buy-8413-YJ+MGC+SQ-1+V2+Speed+Cube+UV+Version.html" TargetMode="External"/><Relationship Id="rId61" Type="http://schemas.openxmlformats.org/officeDocument/2006/relationships/hyperlink" Target="https://cubezz.com/Buy-6391-DaYan+Megaminx+V2+Magnetic+Speed+Cube+with+Corner+Ridges+Stickerless.html" TargetMode="External"/><Relationship Id="rId82" Type="http://schemas.openxmlformats.org/officeDocument/2006/relationships/hyperlink" Target="https://cubezz.com/Buy-6413-GAN+Skewb+M+Enhanced+Core+Positioning+Edition.html" TargetMode="External"/><Relationship Id="rId19" Type="http://schemas.openxmlformats.org/officeDocument/2006/relationships/hyperlink" Target="https://cubezz.com/Buy-6677-GAN251+M+Pro+Magnetic+2x2x2+Speed+Cube+Stickerles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B1" zoomScale="85" zoomScaleNormal="85" workbookViewId="0">
      <selection activeCell="I8" sqref="I8:J8"/>
    </sheetView>
  </sheetViews>
  <sheetFormatPr defaultRowHeight="18.75" x14ac:dyDescent="0.3"/>
  <cols>
    <col min="1" max="1" width="15.7109375" style="40" customWidth="1"/>
    <col min="2" max="2" width="27.5703125" style="4" customWidth="1"/>
    <col min="3" max="3" width="45.7109375" style="1" customWidth="1"/>
    <col min="4" max="4" width="15.5703125" style="1" customWidth="1"/>
    <col min="5" max="5" width="17" style="2" customWidth="1"/>
    <col min="6" max="6" width="13.28515625" style="3" customWidth="1"/>
    <col min="7" max="7" width="20.28515625" style="5" customWidth="1"/>
    <col min="8" max="8" width="13.85546875" style="3" bestFit="1" customWidth="1"/>
    <col min="9" max="10" width="9.140625" style="1"/>
    <col min="11" max="11" width="12.5703125" style="1" customWidth="1"/>
    <col min="12" max="12" width="11.42578125" style="1" customWidth="1"/>
    <col min="13" max="16384" width="9.140625" style="1"/>
  </cols>
  <sheetData>
    <row r="1" spans="1:11" ht="20.25" x14ac:dyDescent="0.3">
      <c r="A1" s="11" t="s">
        <v>0</v>
      </c>
      <c r="B1" s="11"/>
    </row>
    <row r="2" spans="1:11" ht="19.5" thickBot="1" x14ac:dyDescent="0.35"/>
    <row r="3" spans="1:11" ht="19.5" customHeight="1" thickBot="1" x14ac:dyDescent="0.3">
      <c r="A3" s="6" t="s">
        <v>1</v>
      </c>
      <c r="B3" s="7" t="s">
        <v>4</v>
      </c>
      <c r="C3" s="7" t="s">
        <v>2</v>
      </c>
      <c r="D3" s="7" t="s">
        <v>3</v>
      </c>
      <c r="E3" s="8" t="s">
        <v>8</v>
      </c>
      <c r="F3" s="7" t="s">
        <v>6</v>
      </c>
      <c r="G3" s="9" t="s">
        <v>5</v>
      </c>
      <c r="H3" s="10" t="s">
        <v>7</v>
      </c>
      <c r="I3" s="4"/>
      <c r="K3" s="4"/>
    </row>
    <row r="4" spans="1:11" ht="19.5" thickBot="1" x14ac:dyDescent="0.35">
      <c r="A4" s="12" t="s">
        <v>9</v>
      </c>
      <c r="B4" s="13"/>
      <c r="C4" s="14"/>
      <c r="D4" s="14"/>
      <c r="E4" s="15"/>
      <c r="F4" s="16"/>
      <c r="G4" s="17"/>
      <c r="H4" s="18"/>
    </row>
    <row r="5" spans="1:11" x14ac:dyDescent="0.3">
      <c r="A5" s="36"/>
      <c r="B5" s="19" t="s">
        <v>10</v>
      </c>
      <c r="C5" s="20" t="s">
        <v>24</v>
      </c>
      <c r="D5" s="20" t="s">
        <v>11</v>
      </c>
      <c r="E5" s="21">
        <v>62.99</v>
      </c>
      <c r="F5" s="22">
        <f>E5*0.86</f>
        <v>54.171399999999998</v>
      </c>
      <c r="G5" s="28">
        <f t="shared" ref="G5:G19" si="0">ROUND((IF(D5="Flagship",1.15,1.25)*F5),0.01)-0.01</f>
        <v>61.99</v>
      </c>
      <c r="H5" s="23">
        <f>G5-F5</f>
        <v>7.8186000000000035</v>
      </c>
    </row>
    <row r="6" spans="1:11" x14ac:dyDescent="0.3">
      <c r="A6" s="41"/>
      <c r="B6" s="24" t="s">
        <v>12</v>
      </c>
      <c r="C6" s="25" t="s">
        <v>11</v>
      </c>
      <c r="D6" s="25" t="s">
        <v>11</v>
      </c>
      <c r="E6" s="26">
        <v>24.99</v>
      </c>
      <c r="F6" s="27">
        <f t="shared" ref="F6:F46" si="1">E6*0.86</f>
        <v>21.491399999999999</v>
      </c>
      <c r="G6" s="28">
        <f t="shared" si="0"/>
        <v>24.99</v>
      </c>
      <c r="H6" s="29">
        <f t="shared" ref="H6:H19" si="2">G6-F6</f>
        <v>3.4985999999999997</v>
      </c>
    </row>
    <row r="7" spans="1:11" x14ac:dyDescent="0.3">
      <c r="A7" s="41"/>
      <c r="B7" s="24"/>
      <c r="C7" s="25" t="s">
        <v>13</v>
      </c>
      <c r="D7" s="25" t="s">
        <v>11</v>
      </c>
      <c r="E7" s="26">
        <v>32.99</v>
      </c>
      <c r="F7" s="27">
        <f t="shared" si="1"/>
        <v>28.371400000000001</v>
      </c>
      <c r="G7" s="28">
        <f t="shared" si="0"/>
        <v>32.99</v>
      </c>
      <c r="H7" s="29">
        <f t="shared" si="2"/>
        <v>4.6186000000000007</v>
      </c>
    </row>
    <row r="8" spans="1:11" x14ac:dyDescent="0.3">
      <c r="A8" s="41"/>
      <c r="B8" s="24" t="s">
        <v>14</v>
      </c>
      <c r="C8" s="25" t="s">
        <v>15</v>
      </c>
      <c r="D8" s="25" t="s">
        <v>19</v>
      </c>
      <c r="E8" s="26">
        <v>13.99</v>
      </c>
      <c r="F8" s="27">
        <f t="shared" si="1"/>
        <v>12.0314</v>
      </c>
      <c r="G8" s="28">
        <f t="shared" si="0"/>
        <v>14.99</v>
      </c>
      <c r="H8" s="29">
        <f t="shared" si="2"/>
        <v>2.9586000000000006</v>
      </c>
    </row>
    <row r="9" spans="1:11" x14ac:dyDescent="0.3">
      <c r="A9" s="41"/>
      <c r="B9" s="24"/>
      <c r="C9" s="25" t="s">
        <v>16</v>
      </c>
      <c r="D9" s="25" t="s">
        <v>19</v>
      </c>
      <c r="E9" s="26">
        <v>16.989999999999998</v>
      </c>
      <c r="F9" s="27">
        <f t="shared" si="1"/>
        <v>14.611399999999998</v>
      </c>
      <c r="G9" s="28">
        <f t="shared" si="0"/>
        <v>17.989999999999998</v>
      </c>
      <c r="H9" s="29">
        <f t="shared" si="2"/>
        <v>3.3786000000000005</v>
      </c>
    </row>
    <row r="10" spans="1:11" x14ac:dyDescent="0.3">
      <c r="A10" s="41"/>
      <c r="B10" s="24"/>
      <c r="C10" s="25" t="s">
        <v>17</v>
      </c>
      <c r="D10" s="25" t="s">
        <v>11</v>
      </c>
      <c r="E10" s="26">
        <v>26.99</v>
      </c>
      <c r="F10" s="27">
        <f t="shared" si="1"/>
        <v>23.211399999999998</v>
      </c>
      <c r="G10" s="28">
        <f t="shared" si="0"/>
        <v>26.99</v>
      </c>
      <c r="H10" s="29">
        <f t="shared" si="2"/>
        <v>3.7786000000000008</v>
      </c>
    </row>
    <row r="11" spans="1:11" x14ac:dyDescent="0.3">
      <c r="A11" s="41"/>
      <c r="B11" s="24"/>
      <c r="C11" s="25" t="s">
        <v>18</v>
      </c>
      <c r="D11" s="25" t="s">
        <v>11</v>
      </c>
      <c r="E11" s="26">
        <v>31.99</v>
      </c>
      <c r="F11" s="27">
        <f t="shared" si="1"/>
        <v>27.511399999999998</v>
      </c>
      <c r="G11" s="28">
        <f t="shared" si="0"/>
        <v>31.99</v>
      </c>
      <c r="H11" s="29">
        <f t="shared" si="2"/>
        <v>4.4786000000000001</v>
      </c>
    </row>
    <row r="12" spans="1:11" x14ac:dyDescent="0.3">
      <c r="A12" s="41"/>
      <c r="B12" s="24" t="s">
        <v>21</v>
      </c>
      <c r="C12" s="25" t="s">
        <v>22</v>
      </c>
      <c r="D12" s="25" t="s">
        <v>19</v>
      </c>
      <c r="E12" s="26">
        <v>35.99</v>
      </c>
      <c r="F12" s="27">
        <f t="shared" si="1"/>
        <v>30.9514</v>
      </c>
      <c r="G12" s="28">
        <f t="shared" si="0"/>
        <v>38.99</v>
      </c>
      <c r="H12" s="29">
        <f t="shared" si="2"/>
        <v>8.0386000000000024</v>
      </c>
    </row>
    <row r="13" spans="1:11" x14ac:dyDescent="0.3">
      <c r="A13" s="41"/>
      <c r="B13" s="24"/>
      <c r="C13" s="25" t="s">
        <v>20</v>
      </c>
      <c r="D13" s="25" t="s">
        <v>19</v>
      </c>
      <c r="E13" s="26">
        <v>40.99</v>
      </c>
      <c r="F13" s="27">
        <f t="shared" si="1"/>
        <v>35.251400000000004</v>
      </c>
      <c r="G13" s="28">
        <f t="shared" si="0"/>
        <v>43.99</v>
      </c>
      <c r="H13" s="29">
        <f t="shared" si="2"/>
        <v>8.7385999999999981</v>
      </c>
    </row>
    <row r="14" spans="1:11" x14ac:dyDescent="0.3">
      <c r="A14" s="41"/>
      <c r="B14" s="24"/>
      <c r="C14" s="25" t="s">
        <v>23</v>
      </c>
      <c r="D14" s="25" t="s">
        <v>19</v>
      </c>
      <c r="E14" s="26">
        <v>42.99</v>
      </c>
      <c r="F14" s="27">
        <f t="shared" si="1"/>
        <v>36.971400000000003</v>
      </c>
      <c r="G14" s="28">
        <f t="shared" si="0"/>
        <v>45.99</v>
      </c>
      <c r="H14" s="29">
        <f t="shared" si="2"/>
        <v>9.0185999999999993</v>
      </c>
    </row>
    <row r="15" spans="1:11" x14ac:dyDescent="0.3">
      <c r="A15" s="41"/>
      <c r="B15" s="24" t="s">
        <v>25</v>
      </c>
      <c r="C15" s="25" t="s">
        <v>15</v>
      </c>
      <c r="D15" s="25" t="s">
        <v>29</v>
      </c>
      <c r="E15" s="26">
        <v>6.25</v>
      </c>
      <c r="F15" s="27">
        <f t="shared" si="1"/>
        <v>5.375</v>
      </c>
      <c r="G15" s="28">
        <f t="shared" si="0"/>
        <v>6.99</v>
      </c>
      <c r="H15" s="29">
        <f t="shared" si="2"/>
        <v>1.6150000000000002</v>
      </c>
    </row>
    <row r="16" spans="1:11" x14ac:dyDescent="0.3">
      <c r="A16" s="41"/>
      <c r="B16" s="24"/>
      <c r="C16" s="25" t="s">
        <v>26</v>
      </c>
      <c r="D16" s="25" t="s">
        <v>29</v>
      </c>
      <c r="E16" s="26">
        <v>6.99</v>
      </c>
      <c r="F16" s="27">
        <f t="shared" si="1"/>
        <v>6.0114000000000001</v>
      </c>
      <c r="G16" s="28">
        <f t="shared" si="0"/>
        <v>7.99</v>
      </c>
      <c r="H16" s="29">
        <f t="shared" si="2"/>
        <v>1.9786000000000001</v>
      </c>
    </row>
    <row r="17" spans="1:8" x14ac:dyDescent="0.3">
      <c r="A17" s="41"/>
      <c r="B17" s="24"/>
      <c r="C17" s="25" t="s">
        <v>27</v>
      </c>
      <c r="D17" s="25" t="s">
        <v>29</v>
      </c>
      <c r="E17" s="26">
        <v>10.99</v>
      </c>
      <c r="F17" s="27">
        <f t="shared" si="1"/>
        <v>9.4513999999999996</v>
      </c>
      <c r="G17" s="28">
        <f t="shared" si="0"/>
        <v>11.99</v>
      </c>
      <c r="H17" s="29">
        <f t="shared" si="2"/>
        <v>2.5386000000000006</v>
      </c>
    </row>
    <row r="18" spans="1:8" x14ac:dyDescent="0.3">
      <c r="A18" s="41"/>
      <c r="B18" s="24"/>
      <c r="C18" s="25" t="s">
        <v>28</v>
      </c>
      <c r="D18" s="25" t="s">
        <v>29</v>
      </c>
      <c r="E18" s="26">
        <v>16.989999999999998</v>
      </c>
      <c r="F18" s="27">
        <f t="shared" si="1"/>
        <v>14.611399999999998</v>
      </c>
      <c r="G18" s="28">
        <f t="shared" si="0"/>
        <v>17.989999999999998</v>
      </c>
      <c r="H18" s="29">
        <f t="shared" si="2"/>
        <v>3.3786000000000005</v>
      </c>
    </row>
    <row r="19" spans="1:8" x14ac:dyDescent="0.3">
      <c r="A19" s="41"/>
      <c r="B19" s="24" t="s">
        <v>30</v>
      </c>
      <c r="C19" s="25" t="s">
        <v>15</v>
      </c>
      <c r="D19" s="25" t="s">
        <v>29</v>
      </c>
      <c r="E19" s="26">
        <v>7.55</v>
      </c>
      <c r="F19" s="27">
        <f t="shared" si="1"/>
        <v>6.4929999999999994</v>
      </c>
      <c r="G19" s="28">
        <f t="shared" si="0"/>
        <v>7.99</v>
      </c>
      <c r="H19" s="29">
        <f t="shared" si="2"/>
        <v>1.4970000000000008</v>
      </c>
    </row>
    <row r="20" spans="1:8" ht="19.5" thickBot="1" x14ac:dyDescent="0.35">
      <c r="A20" s="42"/>
      <c r="B20" s="30" t="s">
        <v>33</v>
      </c>
      <c r="C20" s="31" t="s">
        <v>15</v>
      </c>
      <c r="D20" s="31" t="s">
        <v>31</v>
      </c>
      <c r="E20" s="32">
        <v>3.69</v>
      </c>
      <c r="F20" s="33">
        <f t="shared" si="1"/>
        <v>3.1734</v>
      </c>
      <c r="G20" s="34">
        <f>ROUND((IF(D20="Flagship",1.15,1.25)*F20),0.01)-0.01+0.5</f>
        <v>4.49</v>
      </c>
      <c r="H20" s="35">
        <f>G20-F20</f>
        <v>1.3166000000000002</v>
      </c>
    </row>
    <row r="21" spans="1:8" ht="19.5" thickBot="1" x14ac:dyDescent="0.35">
      <c r="A21" s="36" t="s">
        <v>32</v>
      </c>
      <c r="B21" s="19"/>
      <c r="C21" s="20"/>
      <c r="D21" s="20"/>
      <c r="E21" s="37"/>
      <c r="F21" s="22"/>
      <c r="G21" s="38"/>
      <c r="H21" s="23"/>
    </row>
    <row r="22" spans="1:8" x14ac:dyDescent="0.3">
      <c r="A22" s="36"/>
      <c r="B22" s="19" t="s">
        <v>34</v>
      </c>
      <c r="C22" s="20" t="s">
        <v>35</v>
      </c>
      <c r="D22" s="20" t="s">
        <v>11</v>
      </c>
      <c r="E22" s="21">
        <v>32.99</v>
      </c>
      <c r="F22" s="22">
        <f t="shared" si="1"/>
        <v>28.371400000000001</v>
      </c>
      <c r="G22" s="38">
        <f t="shared" ref="G22:G29" si="3">ROUND((IF(D22="Flagship",1.15,1.25)*F22),0.01)-0.01</f>
        <v>32.99</v>
      </c>
      <c r="H22" s="23">
        <f t="shared" ref="H22:H46" si="4">G22-F22</f>
        <v>4.6186000000000007</v>
      </c>
    </row>
    <row r="23" spans="1:8" x14ac:dyDescent="0.3">
      <c r="A23" s="41"/>
      <c r="B23" s="24"/>
      <c r="C23" s="25" t="s">
        <v>22</v>
      </c>
      <c r="D23" s="25" t="s">
        <v>11</v>
      </c>
      <c r="E23" s="26">
        <v>27.99</v>
      </c>
      <c r="F23" s="27">
        <f t="shared" si="1"/>
        <v>24.071399999999997</v>
      </c>
      <c r="G23" s="28">
        <f t="shared" si="3"/>
        <v>27.99</v>
      </c>
      <c r="H23" s="29">
        <f t="shared" si="4"/>
        <v>3.9186000000000014</v>
      </c>
    </row>
    <row r="24" spans="1:8" x14ac:dyDescent="0.3">
      <c r="A24" s="41"/>
      <c r="B24" s="24"/>
      <c r="C24" s="25" t="s">
        <v>36</v>
      </c>
      <c r="D24" s="25" t="s">
        <v>11</v>
      </c>
      <c r="E24" s="26">
        <v>24.99</v>
      </c>
      <c r="F24" s="27">
        <f t="shared" si="1"/>
        <v>21.491399999999999</v>
      </c>
      <c r="G24" s="28">
        <f t="shared" si="3"/>
        <v>24.99</v>
      </c>
      <c r="H24" s="29">
        <f t="shared" si="4"/>
        <v>3.4985999999999997</v>
      </c>
    </row>
    <row r="25" spans="1:8" x14ac:dyDescent="0.3">
      <c r="A25" s="41"/>
      <c r="B25" s="24"/>
      <c r="C25" s="25" t="s">
        <v>37</v>
      </c>
      <c r="D25" s="25" t="s">
        <v>19</v>
      </c>
      <c r="E25" s="26">
        <v>16.989999999999998</v>
      </c>
      <c r="F25" s="27">
        <f t="shared" si="1"/>
        <v>14.611399999999998</v>
      </c>
      <c r="G25" s="28">
        <f t="shared" si="3"/>
        <v>17.989999999999998</v>
      </c>
      <c r="H25" s="29">
        <f t="shared" si="4"/>
        <v>3.3786000000000005</v>
      </c>
    </row>
    <row r="26" spans="1:8" x14ac:dyDescent="0.3">
      <c r="A26" s="41"/>
      <c r="B26" s="24" t="s">
        <v>38</v>
      </c>
      <c r="C26" s="25" t="s">
        <v>39</v>
      </c>
      <c r="D26" s="25" t="s">
        <v>11</v>
      </c>
      <c r="E26" s="26">
        <v>24.99</v>
      </c>
      <c r="F26" s="27">
        <f t="shared" si="1"/>
        <v>21.491399999999999</v>
      </c>
      <c r="G26" s="28">
        <f t="shared" si="3"/>
        <v>24.99</v>
      </c>
      <c r="H26" s="29">
        <f t="shared" si="4"/>
        <v>3.4985999999999997</v>
      </c>
    </row>
    <row r="27" spans="1:8" x14ac:dyDescent="0.3">
      <c r="A27" s="41"/>
      <c r="B27" s="24" t="s">
        <v>40</v>
      </c>
      <c r="C27" s="25" t="s">
        <v>15</v>
      </c>
      <c r="D27" s="25" t="s">
        <v>19</v>
      </c>
      <c r="E27" s="26">
        <v>12.99</v>
      </c>
      <c r="F27" s="27">
        <f t="shared" si="1"/>
        <v>11.1714</v>
      </c>
      <c r="G27" s="28">
        <f t="shared" si="3"/>
        <v>13.99</v>
      </c>
      <c r="H27" s="29">
        <f t="shared" si="4"/>
        <v>2.8186</v>
      </c>
    </row>
    <row r="28" spans="1:8" x14ac:dyDescent="0.3">
      <c r="A28" s="41"/>
      <c r="B28" s="24" t="s">
        <v>41</v>
      </c>
      <c r="C28" s="25" t="s">
        <v>42</v>
      </c>
      <c r="D28" s="25" t="s">
        <v>19</v>
      </c>
      <c r="E28" s="26">
        <v>11.99</v>
      </c>
      <c r="F28" s="27">
        <f t="shared" si="1"/>
        <v>10.311400000000001</v>
      </c>
      <c r="G28" s="28">
        <f t="shared" si="3"/>
        <v>12.99</v>
      </c>
      <c r="H28" s="29">
        <f t="shared" si="4"/>
        <v>2.6785999999999994</v>
      </c>
    </row>
    <row r="29" spans="1:8" x14ac:dyDescent="0.3">
      <c r="A29" s="41"/>
      <c r="B29" s="24"/>
      <c r="C29" s="25" t="s">
        <v>43</v>
      </c>
      <c r="D29" s="25" t="s">
        <v>19</v>
      </c>
      <c r="E29" s="26">
        <v>13.99</v>
      </c>
      <c r="F29" s="27">
        <f t="shared" si="1"/>
        <v>12.0314</v>
      </c>
      <c r="G29" s="28">
        <f t="shared" si="3"/>
        <v>14.99</v>
      </c>
      <c r="H29" s="29">
        <f t="shared" si="4"/>
        <v>2.9586000000000006</v>
      </c>
    </row>
    <row r="30" spans="1:8" x14ac:dyDescent="0.3">
      <c r="A30" s="41"/>
      <c r="B30" s="24" t="s">
        <v>44</v>
      </c>
      <c r="C30" s="25" t="s">
        <v>15</v>
      </c>
      <c r="D30" s="25" t="s">
        <v>29</v>
      </c>
      <c r="E30" s="26">
        <v>9.99</v>
      </c>
      <c r="F30" s="27">
        <f t="shared" si="1"/>
        <v>8.5914000000000001</v>
      </c>
      <c r="G30" s="28">
        <f>ROUND((IF(D30="Flagship",1.15,1.25)*F30),0.01)-0.01</f>
        <v>10.99</v>
      </c>
      <c r="H30" s="29">
        <f t="shared" si="4"/>
        <v>2.3986000000000001</v>
      </c>
    </row>
    <row r="31" spans="1:8" ht="19.5" thickBot="1" x14ac:dyDescent="0.35">
      <c r="A31" s="42"/>
      <c r="B31" s="30" t="s">
        <v>45</v>
      </c>
      <c r="C31" s="31" t="s">
        <v>15</v>
      </c>
      <c r="D31" s="31" t="s">
        <v>29</v>
      </c>
      <c r="E31" s="39">
        <v>7.55</v>
      </c>
      <c r="F31" s="33">
        <f t="shared" si="1"/>
        <v>6.4929999999999994</v>
      </c>
      <c r="G31" s="34">
        <f>ROUND((IF(D31="Flagship",1.15,1.25)*F31),0.01)-0.01</f>
        <v>7.99</v>
      </c>
      <c r="H31" s="35">
        <f t="shared" si="4"/>
        <v>1.4970000000000008</v>
      </c>
    </row>
    <row r="32" spans="1:8" ht="19.5" thickBot="1" x14ac:dyDescent="0.35">
      <c r="A32" s="12" t="s">
        <v>46</v>
      </c>
      <c r="B32" s="13"/>
      <c r="C32" s="14"/>
      <c r="D32" s="14"/>
      <c r="E32" s="15"/>
      <c r="F32" s="16"/>
      <c r="G32" s="17"/>
      <c r="H32" s="18"/>
    </row>
    <row r="33" spans="1:8" x14ac:dyDescent="0.3">
      <c r="A33" s="36"/>
      <c r="B33" s="19" t="s">
        <v>47</v>
      </c>
      <c r="C33" s="20" t="s">
        <v>52</v>
      </c>
      <c r="D33" s="20" t="s">
        <v>19</v>
      </c>
      <c r="E33" s="21">
        <v>12.99</v>
      </c>
      <c r="F33" s="22">
        <f t="shared" si="1"/>
        <v>11.1714</v>
      </c>
      <c r="G33" s="38">
        <f t="shared" ref="G33:G46" si="5">ROUND((IF(D33="Flagship",1.15,1.25)*F33),0.01)-0.01</f>
        <v>13.99</v>
      </c>
      <c r="H33" s="23">
        <f t="shared" si="4"/>
        <v>2.8186</v>
      </c>
    </row>
    <row r="34" spans="1:8" x14ac:dyDescent="0.3">
      <c r="A34" s="41"/>
      <c r="B34" s="24"/>
      <c r="C34" s="25" t="s">
        <v>53</v>
      </c>
      <c r="D34" s="25" t="s">
        <v>19</v>
      </c>
      <c r="E34" s="26">
        <v>16.989999999999998</v>
      </c>
      <c r="F34" s="27">
        <f t="shared" si="1"/>
        <v>14.611399999999998</v>
      </c>
      <c r="G34" s="28">
        <f t="shared" si="5"/>
        <v>17.989999999999998</v>
      </c>
      <c r="H34" s="29">
        <f t="shared" si="4"/>
        <v>3.3786000000000005</v>
      </c>
    </row>
    <row r="35" spans="1:8" x14ac:dyDescent="0.3">
      <c r="A35" s="41"/>
      <c r="B35" s="24"/>
      <c r="C35" s="25" t="s">
        <v>54</v>
      </c>
      <c r="D35" s="25" t="s">
        <v>11</v>
      </c>
      <c r="E35" s="26">
        <v>29.99</v>
      </c>
      <c r="F35" s="27">
        <f t="shared" si="1"/>
        <v>25.791399999999999</v>
      </c>
      <c r="G35" s="28">
        <f t="shared" si="5"/>
        <v>29.99</v>
      </c>
      <c r="H35" s="29">
        <f t="shared" si="4"/>
        <v>4.198599999999999</v>
      </c>
    </row>
    <row r="36" spans="1:8" x14ac:dyDescent="0.3">
      <c r="A36" s="41"/>
      <c r="B36" s="24"/>
      <c r="C36" s="25" t="s">
        <v>55</v>
      </c>
      <c r="D36" s="25" t="s">
        <v>11</v>
      </c>
      <c r="E36" s="26">
        <v>35.99</v>
      </c>
      <c r="F36" s="27">
        <f t="shared" si="1"/>
        <v>30.9514</v>
      </c>
      <c r="G36" s="28">
        <f t="shared" si="5"/>
        <v>35.99</v>
      </c>
      <c r="H36" s="29">
        <f t="shared" si="4"/>
        <v>5.0386000000000024</v>
      </c>
    </row>
    <row r="37" spans="1:8" x14ac:dyDescent="0.3">
      <c r="A37" s="41"/>
      <c r="B37" s="24" t="s">
        <v>48</v>
      </c>
      <c r="C37" s="25" t="s">
        <v>51</v>
      </c>
      <c r="D37" s="25" t="s">
        <v>11</v>
      </c>
      <c r="E37" s="26">
        <v>46.99</v>
      </c>
      <c r="F37" s="27">
        <f t="shared" si="1"/>
        <v>40.4114</v>
      </c>
      <c r="G37" s="28">
        <f t="shared" si="5"/>
        <v>45.99</v>
      </c>
      <c r="H37" s="29">
        <f t="shared" si="4"/>
        <v>5.5786000000000016</v>
      </c>
    </row>
    <row r="38" spans="1:8" x14ac:dyDescent="0.3">
      <c r="A38" s="41"/>
      <c r="B38" s="24" t="s">
        <v>49</v>
      </c>
      <c r="C38" s="25" t="s">
        <v>15</v>
      </c>
      <c r="D38" s="25" t="s">
        <v>19</v>
      </c>
      <c r="E38" s="26">
        <v>15.99</v>
      </c>
      <c r="F38" s="27">
        <f t="shared" si="1"/>
        <v>13.7514</v>
      </c>
      <c r="G38" s="28">
        <f t="shared" si="5"/>
        <v>16.989999999999998</v>
      </c>
      <c r="H38" s="29">
        <f t="shared" si="4"/>
        <v>3.2385999999999981</v>
      </c>
    </row>
    <row r="39" spans="1:8" x14ac:dyDescent="0.3">
      <c r="A39" s="41"/>
      <c r="B39" s="24"/>
      <c r="C39" s="25" t="s">
        <v>51</v>
      </c>
      <c r="D39" s="25" t="s">
        <v>19</v>
      </c>
      <c r="E39" s="26">
        <v>16.989999999999998</v>
      </c>
      <c r="F39" s="27">
        <f t="shared" si="1"/>
        <v>14.611399999999998</v>
      </c>
      <c r="G39" s="28">
        <f t="shared" si="5"/>
        <v>17.989999999999998</v>
      </c>
      <c r="H39" s="29">
        <f t="shared" si="4"/>
        <v>3.3786000000000005</v>
      </c>
    </row>
    <row r="40" spans="1:8" x14ac:dyDescent="0.3">
      <c r="A40" s="41"/>
      <c r="B40" s="24"/>
      <c r="C40" s="25" t="s">
        <v>56</v>
      </c>
      <c r="D40" s="25" t="s">
        <v>19</v>
      </c>
      <c r="E40" s="26">
        <v>21.99</v>
      </c>
      <c r="F40" s="27">
        <f t="shared" si="1"/>
        <v>18.911399999999997</v>
      </c>
      <c r="G40" s="28">
        <f t="shared" si="5"/>
        <v>23.99</v>
      </c>
      <c r="H40" s="29">
        <f t="shared" si="4"/>
        <v>5.0786000000000016</v>
      </c>
    </row>
    <row r="41" spans="1:8" ht="19.5" thickBot="1" x14ac:dyDescent="0.35">
      <c r="A41" s="42"/>
      <c r="B41" s="30" t="s">
        <v>50</v>
      </c>
      <c r="C41" s="31" t="s">
        <v>15</v>
      </c>
      <c r="D41" s="31" t="s">
        <v>29</v>
      </c>
      <c r="E41" s="39">
        <v>12.99</v>
      </c>
      <c r="F41" s="33">
        <f t="shared" si="1"/>
        <v>11.1714</v>
      </c>
      <c r="G41" s="34">
        <f t="shared" si="5"/>
        <v>13.99</v>
      </c>
      <c r="H41" s="35">
        <f t="shared" si="4"/>
        <v>2.8186</v>
      </c>
    </row>
    <row r="42" spans="1:8" ht="19.5" thickBot="1" x14ac:dyDescent="0.35">
      <c r="A42" s="12" t="s">
        <v>57</v>
      </c>
      <c r="B42" s="13"/>
      <c r="C42" s="14"/>
      <c r="D42" s="14"/>
      <c r="E42" s="15"/>
      <c r="F42" s="16"/>
      <c r="G42" s="17"/>
      <c r="H42" s="18"/>
    </row>
    <row r="43" spans="1:8" x14ac:dyDescent="0.3">
      <c r="A43" s="36"/>
      <c r="B43" s="19" t="s">
        <v>91</v>
      </c>
      <c r="C43" s="20" t="s">
        <v>52</v>
      </c>
      <c r="D43" s="20" t="s">
        <v>19</v>
      </c>
      <c r="E43" s="21">
        <v>14.99</v>
      </c>
      <c r="F43" s="22">
        <f t="shared" si="1"/>
        <v>12.891400000000001</v>
      </c>
      <c r="G43" s="38">
        <f t="shared" si="5"/>
        <v>15.99</v>
      </c>
      <c r="H43" s="23">
        <f t="shared" si="4"/>
        <v>3.0985999999999994</v>
      </c>
    </row>
    <row r="44" spans="1:8" x14ac:dyDescent="0.3">
      <c r="A44" s="41"/>
      <c r="B44" s="24"/>
      <c r="C44" s="25" t="s">
        <v>53</v>
      </c>
      <c r="D44" s="25" t="s">
        <v>19</v>
      </c>
      <c r="E44" s="26">
        <v>20.99</v>
      </c>
      <c r="F44" s="27">
        <f t="shared" si="1"/>
        <v>18.051399999999997</v>
      </c>
      <c r="G44" s="28">
        <f t="shared" si="5"/>
        <v>22.99</v>
      </c>
      <c r="H44" s="29">
        <f t="shared" si="4"/>
        <v>4.938600000000001</v>
      </c>
    </row>
    <row r="45" spans="1:8" x14ac:dyDescent="0.3">
      <c r="A45" s="41"/>
      <c r="B45" s="24"/>
      <c r="C45" s="25" t="s">
        <v>54</v>
      </c>
      <c r="D45" s="25" t="s">
        <v>11</v>
      </c>
      <c r="E45" s="26">
        <v>35.99</v>
      </c>
      <c r="F45" s="27">
        <f t="shared" si="1"/>
        <v>30.9514</v>
      </c>
      <c r="G45" s="28">
        <f t="shared" si="5"/>
        <v>35.99</v>
      </c>
      <c r="H45" s="29">
        <f t="shared" si="4"/>
        <v>5.0386000000000024</v>
      </c>
    </row>
    <row r="46" spans="1:8" x14ac:dyDescent="0.3">
      <c r="A46" s="41"/>
      <c r="B46" s="24"/>
      <c r="C46" s="25" t="s">
        <v>55</v>
      </c>
      <c r="D46" s="25" t="s">
        <v>11</v>
      </c>
      <c r="E46" s="26">
        <v>40.99</v>
      </c>
      <c r="F46" s="27">
        <f t="shared" si="1"/>
        <v>35.251400000000004</v>
      </c>
      <c r="G46" s="28">
        <f t="shared" si="5"/>
        <v>40.99</v>
      </c>
      <c r="H46" s="29">
        <f t="shared" si="4"/>
        <v>5.7385999999999981</v>
      </c>
    </row>
    <row r="47" spans="1:8" x14ac:dyDescent="0.3">
      <c r="A47" s="41"/>
      <c r="B47" s="24" t="s">
        <v>58</v>
      </c>
      <c r="C47" s="25" t="s">
        <v>59</v>
      </c>
      <c r="D47" s="25" t="s">
        <v>11</v>
      </c>
      <c r="E47" s="26">
        <v>43.99</v>
      </c>
      <c r="F47" s="27">
        <f t="shared" ref="F47:F48" si="6">E47*0.86</f>
        <v>37.831400000000002</v>
      </c>
      <c r="G47" s="28">
        <f t="shared" ref="G47:G48" si="7">ROUND((IF(D47="Flagship",1.15,1.25)*F47),0.01)-0.01</f>
        <v>43.99</v>
      </c>
      <c r="H47" s="29">
        <f t="shared" ref="H47:H48" si="8">G47-F47</f>
        <v>6.1585999999999999</v>
      </c>
    </row>
    <row r="48" spans="1:8" x14ac:dyDescent="0.3">
      <c r="A48" s="41"/>
      <c r="B48" s="24"/>
      <c r="C48" s="25" t="s">
        <v>60</v>
      </c>
      <c r="D48" s="25" t="s">
        <v>11</v>
      </c>
      <c r="E48" s="26">
        <v>52.99</v>
      </c>
      <c r="F48" s="27">
        <f t="shared" si="6"/>
        <v>45.571400000000004</v>
      </c>
      <c r="G48" s="28">
        <f t="shared" si="7"/>
        <v>51.99</v>
      </c>
      <c r="H48" s="29">
        <f t="shared" si="8"/>
        <v>6.4185999999999979</v>
      </c>
    </row>
    <row r="49" spans="1:8" x14ac:dyDescent="0.3">
      <c r="A49" s="41"/>
      <c r="B49" s="24" t="s">
        <v>49</v>
      </c>
      <c r="C49" s="25" t="s">
        <v>15</v>
      </c>
      <c r="D49" s="25" t="s">
        <v>19</v>
      </c>
      <c r="E49" s="26">
        <v>16.989999999999998</v>
      </c>
      <c r="F49" s="27">
        <f t="shared" ref="F49" si="9">E49*0.86</f>
        <v>14.611399999999998</v>
      </c>
      <c r="G49" s="28">
        <f t="shared" ref="G49" si="10">ROUND((IF(D49="Flagship",1.15,1.25)*F49),0.01)-0.01</f>
        <v>17.989999999999998</v>
      </c>
      <c r="H49" s="29">
        <f t="shared" ref="H49" si="11">G49-F49</f>
        <v>3.3786000000000005</v>
      </c>
    </row>
    <row r="50" spans="1:8" ht="19.5" thickBot="1" x14ac:dyDescent="0.35">
      <c r="A50" s="42"/>
      <c r="B50" s="30" t="s">
        <v>61</v>
      </c>
      <c r="C50" s="31" t="s">
        <v>15</v>
      </c>
      <c r="D50" s="31" t="s">
        <v>29</v>
      </c>
      <c r="E50" s="39">
        <v>7.55</v>
      </c>
      <c r="F50" s="33">
        <f t="shared" ref="F50" si="12">E50*0.86</f>
        <v>6.4929999999999994</v>
      </c>
      <c r="G50" s="34">
        <f t="shared" ref="G50" si="13">ROUND((IF(D50="Flagship",1.15,1.25)*F50),0.01)-0.01</f>
        <v>7.99</v>
      </c>
      <c r="H50" s="35">
        <f t="shared" ref="H50" si="14">G50-F50</f>
        <v>1.4970000000000008</v>
      </c>
    </row>
    <row r="51" spans="1:8" ht="19.5" thickBot="1" x14ac:dyDescent="0.35">
      <c r="A51" s="12" t="s">
        <v>62</v>
      </c>
      <c r="B51" s="13"/>
      <c r="C51" s="14"/>
      <c r="D51" s="14"/>
      <c r="E51" s="15"/>
      <c r="F51" s="16"/>
      <c r="G51" s="17"/>
      <c r="H51" s="18"/>
    </row>
    <row r="52" spans="1:8" x14ac:dyDescent="0.3">
      <c r="A52" s="36"/>
      <c r="B52" s="19" t="s">
        <v>64</v>
      </c>
      <c r="C52" s="20" t="s">
        <v>65</v>
      </c>
      <c r="D52" s="20" t="s">
        <v>11</v>
      </c>
      <c r="E52" s="21">
        <v>31.99</v>
      </c>
      <c r="F52" s="22">
        <f t="shared" ref="F52:F54" si="15">E52*0.86</f>
        <v>27.511399999999998</v>
      </c>
      <c r="G52" s="38">
        <f t="shared" ref="G52:G54" si="16">ROUND((IF(D52="Flagship",1.15,1.25)*F52),0.01)-0.01</f>
        <v>31.99</v>
      </c>
      <c r="H52" s="23">
        <f t="shared" ref="H52:H54" si="17">G52-F52</f>
        <v>4.4786000000000001</v>
      </c>
    </row>
    <row r="53" spans="1:8" x14ac:dyDescent="0.3">
      <c r="A53" s="41"/>
      <c r="B53" s="24" t="s">
        <v>63</v>
      </c>
      <c r="C53" s="25" t="s">
        <v>15</v>
      </c>
      <c r="D53" s="25" t="s">
        <v>11</v>
      </c>
      <c r="E53" s="26">
        <v>29.99</v>
      </c>
      <c r="F53" s="27">
        <f t="shared" si="15"/>
        <v>25.791399999999999</v>
      </c>
      <c r="G53" s="28">
        <f t="shared" si="16"/>
        <v>29.99</v>
      </c>
      <c r="H53" s="29">
        <f t="shared" si="17"/>
        <v>4.198599999999999</v>
      </c>
    </row>
    <row r="54" spans="1:8" x14ac:dyDescent="0.3">
      <c r="A54" s="41"/>
      <c r="B54" s="24" t="s">
        <v>49</v>
      </c>
      <c r="C54" s="25" t="s">
        <v>15</v>
      </c>
      <c r="D54" s="25" t="s">
        <v>19</v>
      </c>
      <c r="E54" s="26">
        <v>17.989999999999998</v>
      </c>
      <c r="F54" s="27">
        <f t="shared" si="15"/>
        <v>15.471399999999999</v>
      </c>
      <c r="G54" s="28">
        <f t="shared" si="16"/>
        <v>18.989999999999998</v>
      </c>
      <c r="H54" s="29">
        <f t="shared" si="17"/>
        <v>3.5185999999999993</v>
      </c>
    </row>
    <row r="55" spans="1:8" ht="19.5" thickBot="1" x14ac:dyDescent="0.35">
      <c r="A55" s="42"/>
      <c r="B55" s="30" t="s">
        <v>33</v>
      </c>
      <c r="C55" s="31" t="s">
        <v>15</v>
      </c>
      <c r="D55" s="31" t="s">
        <v>29</v>
      </c>
      <c r="E55" s="39">
        <v>12.99</v>
      </c>
      <c r="F55" s="33">
        <f t="shared" ref="F55" si="18">E55*0.86</f>
        <v>11.1714</v>
      </c>
      <c r="G55" s="34">
        <f t="shared" ref="G55" si="19">ROUND((IF(D55="Flagship",1.15,1.25)*F55),0.01)-0.01</f>
        <v>13.99</v>
      </c>
      <c r="H55" s="35">
        <f t="shared" ref="H55" si="20">G55-F55</f>
        <v>2.8186</v>
      </c>
    </row>
    <row r="56" spans="1:8" ht="19.5" thickBot="1" x14ac:dyDescent="0.35">
      <c r="A56" s="12" t="s">
        <v>66</v>
      </c>
      <c r="B56" s="13"/>
      <c r="C56" s="14"/>
      <c r="D56" s="14"/>
      <c r="E56" s="15"/>
      <c r="F56" s="16"/>
      <c r="G56" s="17"/>
      <c r="H56" s="18"/>
    </row>
    <row r="57" spans="1:8" x14ac:dyDescent="0.3">
      <c r="A57" s="36"/>
      <c r="B57" s="19" t="s">
        <v>67</v>
      </c>
      <c r="C57" s="20" t="s">
        <v>68</v>
      </c>
      <c r="D57" s="20" t="s">
        <v>11</v>
      </c>
      <c r="E57" s="21">
        <v>32.99</v>
      </c>
      <c r="F57" s="22">
        <f t="shared" ref="F57:F63" si="21">E57*0.86</f>
        <v>28.371400000000001</v>
      </c>
      <c r="G57" s="38">
        <f t="shared" ref="G57:G63" si="22">ROUND((IF(D57="Flagship",1.15,1.25)*F57),0.01)-0.01</f>
        <v>32.99</v>
      </c>
      <c r="H57" s="23">
        <f t="shared" ref="H57:H63" si="23">G57-F57</f>
        <v>4.6186000000000007</v>
      </c>
    </row>
    <row r="58" spans="1:8" x14ac:dyDescent="0.3">
      <c r="A58" s="41"/>
      <c r="B58" s="24" t="s">
        <v>69</v>
      </c>
      <c r="C58" s="25" t="s">
        <v>52</v>
      </c>
      <c r="D58" s="25" t="s">
        <v>11</v>
      </c>
      <c r="E58" s="26">
        <v>32.99</v>
      </c>
      <c r="F58" s="27">
        <f t="shared" si="21"/>
        <v>28.371400000000001</v>
      </c>
      <c r="G58" s="28">
        <f t="shared" si="22"/>
        <v>32.99</v>
      </c>
      <c r="H58" s="29">
        <f t="shared" si="23"/>
        <v>4.6186000000000007</v>
      </c>
    </row>
    <row r="59" spans="1:8" x14ac:dyDescent="0.3">
      <c r="A59" s="41"/>
      <c r="B59" s="24"/>
      <c r="C59" s="25" t="s">
        <v>70</v>
      </c>
      <c r="D59" s="25" t="s">
        <v>11</v>
      </c>
      <c r="E59" s="26">
        <v>41.99</v>
      </c>
      <c r="F59" s="27">
        <f t="shared" si="21"/>
        <v>36.111400000000003</v>
      </c>
      <c r="G59" s="28">
        <f t="shared" si="22"/>
        <v>41.99</v>
      </c>
      <c r="H59" s="29">
        <f t="shared" si="23"/>
        <v>5.8785999999999987</v>
      </c>
    </row>
    <row r="60" spans="1:8" x14ac:dyDescent="0.3">
      <c r="A60" s="41"/>
      <c r="B60" s="24"/>
      <c r="C60" s="25" t="s">
        <v>71</v>
      </c>
      <c r="D60" s="25" t="s">
        <v>11</v>
      </c>
      <c r="E60" s="26">
        <v>49.99</v>
      </c>
      <c r="F60" s="27">
        <f t="shared" si="21"/>
        <v>42.991399999999999</v>
      </c>
      <c r="G60" s="28">
        <f t="shared" si="22"/>
        <v>48.99</v>
      </c>
      <c r="H60" s="29">
        <f t="shared" si="23"/>
        <v>5.9986000000000033</v>
      </c>
    </row>
    <row r="61" spans="1:8" x14ac:dyDescent="0.3">
      <c r="A61" s="41"/>
      <c r="B61" s="24" t="s">
        <v>69</v>
      </c>
      <c r="C61" s="25" t="s">
        <v>15</v>
      </c>
      <c r="D61" s="25" t="s">
        <v>11</v>
      </c>
      <c r="E61" s="26">
        <v>32.99</v>
      </c>
      <c r="F61" s="27">
        <f t="shared" si="21"/>
        <v>28.371400000000001</v>
      </c>
      <c r="G61" s="28">
        <f t="shared" si="22"/>
        <v>32.99</v>
      </c>
      <c r="H61" s="29">
        <f t="shared" si="23"/>
        <v>4.6186000000000007</v>
      </c>
    </row>
    <row r="62" spans="1:8" x14ac:dyDescent="0.3">
      <c r="A62" s="41"/>
      <c r="B62" s="24" t="s">
        <v>49</v>
      </c>
      <c r="C62" s="25" t="s">
        <v>15</v>
      </c>
      <c r="D62" s="25" t="s">
        <v>19</v>
      </c>
      <c r="E62" s="26">
        <v>28.99</v>
      </c>
      <c r="F62" s="27">
        <f t="shared" si="21"/>
        <v>24.9314</v>
      </c>
      <c r="G62" s="28">
        <f t="shared" si="22"/>
        <v>30.99</v>
      </c>
      <c r="H62" s="29">
        <f t="shared" si="23"/>
        <v>6.0585999999999984</v>
      </c>
    </row>
    <row r="63" spans="1:8" ht="19.5" thickBot="1" x14ac:dyDescent="0.35">
      <c r="A63" s="41"/>
      <c r="B63" s="47" t="s">
        <v>33</v>
      </c>
      <c r="C63" s="48" t="s">
        <v>15</v>
      </c>
      <c r="D63" s="48" t="s">
        <v>29</v>
      </c>
      <c r="E63" s="26">
        <v>13.99</v>
      </c>
      <c r="F63" s="49">
        <f t="shared" si="21"/>
        <v>12.0314</v>
      </c>
      <c r="G63" s="50">
        <f t="shared" si="22"/>
        <v>14.99</v>
      </c>
      <c r="H63" s="29">
        <f t="shared" si="23"/>
        <v>2.9586000000000006</v>
      </c>
    </row>
    <row r="64" spans="1:8" ht="19.5" thickBot="1" x14ac:dyDescent="0.35">
      <c r="A64" s="51" t="s">
        <v>72</v>
      </c>
      <c r="B64" s="52"/>
      <c r="C64" s="53"/>
      <c r="D64" s="53"/>
      <c r="E64" s="54"/>
      <c r="F64" s="55"/>
      <c r="G64" s="56"/>
      <c r="H64" s="57"/>
    </row>
    <row r="65" spans="1:8" x14ac:dyDescent="0.3">
      <c r="A65" s="58"/>
      <c r="B65" s="59" t="s">
        <v>73</v>
      </c>
      <c r="C65" s="60" t="s">
        <v>74</v>
      </c>
      <c r="D65" s="60" t="s">
        <v>11</v>
      </c>
      <c r="E65" s="72">
        <v>21.99</v>
      </c>
      <c r="F65" s="61">
        <f t="shared" ref="F65:F71" si="24">E65*0.86</f>
        <v>18.911399999999997</v>
      </c>
      <c r="G65" s="62">
        <f t="shared" ref="G65:G71" si="25">ROUND((IF(D65="Flagship",1.15,1.25)*F65),0.01)-0.01</f>
        <v>21.99</v>
      </c>
      <c r="H65" s="63">
        <f t="shared" ref="H65:H71" si="26">G65-F65</f>
        <v>3.0786000000000016</v>
      </c>
    </row>
    <row r="66" spans="1:8" x14ac:dyDescent="0.3">
      <c r="A66" s="64"/>
      <c r="B66" s="43"/>
      <c r="C66" s="44" t="s">
        <v>75</v>
      </c>
      <c r="D66" s="44" t="s">
        <v>11</v>
      </c>
      <c r="E66" s="73">
        <v>21.99</v>
      </c>
      <c r="F66" s="45">
        <f t="shared" si="24"/>
        <v>18.911399999999997</v>
      </c>
      <c r="G66" s="46">
        <f t="shared" si="25"/>
        <v>21.99</v>
      </c>
      <c r="H66" s="65">
        <f t="shared" si="26"/>
        <v>3.0786000000000016</v>
      </c>
    </row>
    <row r="67" spans="1:8" x14ac:dyDescent="0.3">
      <c r="A67" s="64"/>
      <c r="B67" s="43"/>
      <c r="C67" s="44" t="s">
        <v>76</v>
      </c>
      <c r="D67" s="44" t="s">
        <v>11</v>
      </c>
      <c r="E67" s="74">
        <v>21.99</v>
      </c>
      <c r="F67" s="45">
        <f t="shared" si="24"/>
        <v>18.911399999999997</v>
      </c>
      <c r="G67" s="46">
        <f t="shared" si="25"/>
        <v>21.99</v>
      </c>
      <c r="H67" s="65">
        <f t="shared" si="26"/>
        <v>3.0786000000000016</v>
      </c>
    </row>
    <row r="68" spans="1:8" x14ac:dyDescent="0.3">
      <c r="A68" s="64"/>
      <c r="B68" s="43"/>
      <c r="C68" s="44" t="s">
        <v>77</v>
      </c>
      <c r="D68" s="44" t="s">
        <v>11</v>
      </c>
      <c r="E68" s="73">
        <v>21.99</v>
      </c>
      <c r="F68" s="45">
        <f t="shared" si="24"/>
        <v>18.911399999999997</v>
      </c>
      <c r="G68" s="46">
        <f t="shared" si="25"/>
        <v>21.99</v>
      </c>
      <c r="H68" s="65">
        <f t="shared" si="26"/>
        <v>3.0786000000000016</v>
      </c>
    </row>
    <row r="69" spans="1:8" x14ac:dyDescent="0.3">
      <c r="A69" s="64"/>
      <c r="B69" s="43"/>
      <c r="C69" s="44" t="s">
        <v>78</v>
      </c>
      <c r="D69" s="44" t="s">
        <v>11</v>
      </c>
      <c r="E69" s="73">
        <v>21.99</v>
      </c>
      <c r="F69" s="45">
        <f t="shared" si="24"/>
        <v>18.911399999999997</v>
      </c>
      <c r="G69" s="46">
        <f t="shared" si="25"/>
        <v>21.99</v>
      </c>
      <c r="H69" s="65">
        <f t="shared" si="26"/>
        <v>3.0786000000000016</v>
      </c>
    </row>
    <row r="70" spans="1:8" x14ac:dyDescent="0.3">
      <c r="A70" s="64"/>
      <c r="B70" s="43" t="s">
        <v>79</v>
      </c>
      <c r="C70" s="44" t="s">
        <v>15</v>
      </c>
      <c r="D70" s="44" t="s">
        <v>11</v>
      </c>
      <c r="E70" s="73">
        <v>13.99</v>
      </c>
      <c r="F70" s="45">
        <f t="shared" si="24"/>
        <v>12.0314</v>
      </c>
      <c r="G70" s="46">
        <f t="shared" si="25"/>
        <v>13.99</v>
      </c>
      <c r="H70" s="65">
        <f t="shared" si="26"/>
        <v>1.9586000000000006</v>
      </c>
    </row>
    <row r="71" spans="1:8" ht="19.5" thickBot="1" x14ac:dyDescent="0.35">
      <c r="A71" s="66"/>
      <c r="B71" s="67" t="s">
        <v>80</v>
      </c>
      <c r="C71" s="68" t="s">
        <v>15</v>
      </c>
      <c r="D71" s="68" t="s">
        <v>29</v>
      </c>
      <c r="E71" s="75">
        <v>8.99</v>
      </c>
      <c r="F71" s="69">
        <f t="shared" si="24"/>
        <v>7.7313999999999998</v>
      </c>
      <c r="G71" s="70">
        <f t="shared" si="25"/>
        <v>9.99</v>
      </c>
      <c r="H71" s="71">
        <f t="shared" si="26"/>
        <v>2.2586000000000004</v>
      </c>
    </row>
    <row r="72" spans="1:8" ht="19.5" thickBot="1" x14ac:dyDescent="0.35">
      <c r="A72" s="51" t="s">
        <v>81</v>
      </c>
      <c r="B72" s="52"/>
      <c r="C72" s="53"/>
      <c r="D72" s="53"/>
      <c r="E72" s="54"/>
      <c r="F72" s="55"/>
      <c r="G72" s="56"/>
      <c r="H72" s="57"/>
    </row>
    <row r="73" spans="1:8" x14ac:dyDescent="0.3">
      <c r="A73" s="58"/>
      <c r="B73" s="59" t="s">
        <v>82</v>
      </c>
      <c r="C73" s="60" t="s">
        <v>15</v>
      </c>
      <c r="D73" s="60" t="s">
        <v>11</v>
      </c>
      <c r="E73" s="72">
        <v>24.99</v>
      </c>
      <c r="F73" s="61">
        <f t="shared" ref="F73:F79" si="27">E73*0.86</f>
        <v>21.491399999999999</v>
      </c>
      <c r="G73" s="62">
        <f t="shared" ref="G73:G79" si="28">ROUND((IF(D73="Flagship",1.15,1.25)*F73),0.01)-0.01</f>
        <v>24.99</v>
      </c>
      <c r="H73" s="63">
        <f t="shared" ref="H73:H79" si="29">G73-F73</f>
        <v>3.4985999999999997</v>
      </c>
    </row>
    <row r="74" spans="1:8" x14ac:dyDescent="0.3">
      <c r="A74" s="64"/>
      <c r="B74" s="43" t="s">
        <v>83</v>
      </c>
      <c r="C74" s="44" t="s">
        <v>84</v>
      </c>
      <c r="D74" s="44" t="s">
        <v>11</v>
      </c>
      <c r="E74" s="73">
        <v>24.99</v>
      </c>
      <c r="F74" s="45">
        <f t="shared" si="27"/>
        <v>21.491399999999999</v>
      </c>
      <c r="G74" s="46">
        <f t="shared" si="28"/>
        <v>24.99</v>
      </c>
      <c r="H74" s="65">
        <f t="shared" si="29"/>
        <v>3.4985999999999997</v>
      </c>
    </row>
    <row r="75" spans="1:8" x14ac:dyDescent="0.3">
      <c r="A75" s="64"/>
      <c r="B75" s="43"/>
      <c r="C75" s="44" t="s">
        <v>68</v>
      </c>
      <c r="D75" s="44" t="s">
        <v>11</v>
      </c>
      <c r="E75" s="73">
        <v>23.99</v>
      </c>
      <c r="F75" s="45">
        <f t="shared" si="27"/>
        <v>20.631399999999999</v>
      </c>
      <c r="G75" s="46">
        <f t="shared" si="28"/>
        <v>23.99</v>
      </c>
      <c r="H75" s="65">
        <f t="shared" si="29"/>
        <v>3.3585999999999991</v>
      </c>
    </row>
    <row r="76" spans="1:8" x14ac:dyDescent="0.3">
      <c r="A76" s="64"/>
      <c r="B76" s="43" t="s">
        <v>85</v>
      </c>
      <c r="C76" s="44" t="s">
        <v>87</v>
      </c>
      <c r="D76" s="44" t="s">
        <v>11</v>
      </c>
      <c r="E76" s="73">
        <v>45.99</v>
      </c>
      <c r="F76" s="45">
        <f t="shared" si="27"/>
        <v>39.551400000000001</v>
      </c>
      <c r="G76" s="46">
        <f t="shared" si="28"/>
        <v>44.99</v>
      </c>
      <c r="H76" s="65">
        <f t="shared" si="29"/>
        <v>5.438600000000001</v>
      </c>
    </row>
    <row r="77" spans="1:8" x14ac:dyDescent="0.3">
      <c r="A77" s="64"/>
      <c r="B77" s="43"/>
      <c r="C77" s="44" t="s">
        <v>89</v>
      </c>
      <c r="D77" s="44" t="s">
        <v>11</v>
      </c>
      <c r="E77" s="73">
        <v>45.99</v>
      </c>
      <c r="F77" s="45">
        <f t="shared" si="27"/>
        <v>39.551400000000001</v>
      </c>
      <c r="G77" s="46">
        <f t="shared" si="28"/>
        <v>44.99</v>
      </c>
      <c r="H77" s="65">
        <f t="shared" si="29"/>
        <v>5.438600000000001</v>
      </c>
    </row>
    <row r="78" spans="1:8" x14ac:dyDescent="0.3">
      <c r="A78" s="64"/>
      <c r="B78" s="43"/>
      <c r="C78" s="44" t="s">
        <v>86</v>
      </c>
      <c r="D78" s="44" t="s">
        <v>11</v>
      </c>
      <c r="E78" s="73">
        <v>42.99</v>
      </c>
      <c r="F78" s="45">
        <f t="shared" si="27"/>
        <v>36.971400000000003</v>
      </c>
      <c r="G78" s="46">
        <f t="shared" si="28"/>
        <v>42.99</v>
      </c>
      <c r="H78" s="65">
        <f t="shared" si="29"/>
        <v>6.0185999999999993</v>
      </c>
    </row>
    <row r="79" spans="1:8" ht="19.5" thickBot="1" x14ac:dyDescent="0.35">
      <c r="A79" s="66"/>
      <c r="B79" s="67" t="s">
        <v>88</v>
      </c>
      <c r="C79" s="68" t="s">
        <v>15</v>
      </c>
      <c r="D79" s="68" t="s">
        <v>19</v>
      </c>
      <c r="E79" s="75">
        <v>10.99</v>
      </c>
      <c r="F79" s="69">
        <f t="shared" si="27"/>
        <v>9.4513999999999996</v>
      </c>
      <c r="G79" s="70">
        <f t="shared" si="28"/>
        <v>11.99</v>
      </c>
      <c r="H79" s="71">
        <f t="shared" si="29"/>
        <v>2.5386000000000006</v>
      </c>
    </row>
    <row r="80" spans="1:8" ht="19.5" thickBot="1" x14ac:dyDescent="0.35">
      <c r="A80" s="51" t="s">
        <v>90</v>
      </c>
      <c r="B80" s="52"/>
      <c r="C80" s="53"/>
      <c r="D80" s="53"/>
      <c r="E80" s="54"/>
      <c r="F80" s="55"/>
      <c r="G80" s="56"/>
      <c r="H80" s="57"/>
    </row>
    <row r="81" spans="1:8" x14ac:dyDescent="0.3">
      <c r="A81" s="58"/>
      <c r="B81" s="59" t="s">
        <v>92</v>
      </c>
      <c r="C81" s="60" t="s">
        <v>68</v>
      </c>
      <c r="D81" s="60" t="s">
        <v>11</v>
      </c>
      <c r="E81" s="72">
        <v>14.99</v>
      </c>
      <c r="F81" s="61">
        <f t="shared" ref="F81:F90" si="30">E81*0.86</f>
        <v>12.891400000000001</v>
      </c>
      <c r="G81" s="62">
        <f t="shared" ref="G81:G90" si="31">ROUND((IF(D81="Flagship",1.15,1.25)*F81),0.01)-0.01</f>
        <v>14.99</v>
      </c>
      <c r="H81" s="63">
        <f t="shared" ref="H81:H90" si="32">G81-F81</f>
        <v>2.0985999999999994</v>
      </c>
    </row>
    <row r="82" spans="1:8" x14ac:dyDescent="0.3">
      <c r="A82" s="64"/>
      <c r="B82" s="43"/>
      <c r="C82" s="44" t="s">
        <v>87</v>
      </c>
      <c r="D82" s="44" t="s">
        <v>19</v>
      </c>
      <c r="E82" s="73">
        <v>18.989999999999998</v>
      </c>
      <c r="F82" s="45">
        <f t="shared" si="30"/>
        <v>16.331399999999999</v>
      </c>
      <c r="G82" s="46">
        <f t="shared" si="31"/>
        <v>19.989999999999998</v>
      </c>
      <c r="H82" s="65">
        <f t="shared" si="32"/>
        <v>3.6585999999999999</v>
      </c>
    </row>
    <row r="83" spans="1:8" x14ac:dyDescent="0.3">
      <c r="A83" s="64"/>
      <c r="B83" s="43" t="s">
        <v>93</v>
      </c>
      <c r="C83" s="44" t="s">
        <v>15</v>
      </c>
      <c r="D83" s="44" t="s">
        <v>19</v>
      </c>
      <c r="E83" s="73">
        <v>14.99</v>
      </c>
      <c r="F83" s="45">
        <f t="shared" si="30"/>
        <v>12.891400000000001</v>
      </c>
      <c r="G83" s="46">
        <f t="shared" si="31"/>
        <v>15.99</v>
      </c>
      <c r="H83" s="65">
        <f t="shared" si="32"/>
        <v>3.0985999999999994</v>
      </c>
    </row>
    <row r="84" spans="1:8" x14ac:dyDescent="0.3">
      <c r="A84" s="64"/>
      <c r="B84" s="43"/>
      <c r="C84" s="44" t="s">
        <v>94</v>
      </c>
      <c r="D84" s="44" t="s">
        <v>11</v>
      </c>
      <c r="E84" s="73">
        <v>19.989999999999998</v>
      </c>
      <c r="F84" s="45">
        <f t="shared" si="30"/>
        <v>17.191399999999998</v>
      </c>
      <c r="G84" s="46">
        <f t="shared" si="31"/>
        <v>19.989999999999998</v>
      </c>
      <c r="H84" s="65">
        <f t="shared" si="32"/>
        <v>2.7986000000000004</v>
      </c>
    </row>
    <row r="85" spans="1:8" x14ac:dyDescent="0.3">
      <c r="A85" s="64"/>
      <c r="B85" s="43"/>
      <c r="C85" s="44" t="s">
        <v>95</v>
      </c>
      <c r="D85" s="44" t="s">
        <v>11</v>
      </c>
      <c r="E85" s="73">
        <v>27.99</v>
      </c>
      <c r="F85" s="45">
        <f t="shared" si="30"/>
        <v>24.071399999999997</v>
      </c>
      <c r="G85" s="46">
        <f t="shared" si="31"/>
        <v>27.99</v>
      </c>
      <c r="H85" s="65">
        <f t="shared" si="32"/>
        <v>3.9186000000000014</v>
      </c>
    </row>
    <row r="86" spans="1:8" x14ac:dyDescent="0.3">
      <c r="A86" s="64"/>
      <c r="B86" s="43" t="s">
        <v>96</v>
      </c>
      <c r="C86" s="44" t="s">
        <v>15</v>
      </c>
      <c r="D86" s="44" t="s">
        <v>19</v>
      </c>
      <c r="E86" s="73">
        <v>12.55</v>
      </c>
      <c r="F86" s="45">
        <f t="shared" si="30"/>
        <v>10.793000000000001</v>
      </c>
      <c r="G86" s="46">
        <f t="shared" si="31"/>
        <v>12.99</v>
      </c>
      <c r="H86" s="65">
        <f t="shared" si="32"/>
        <v>2.1969999999999992</v>
      </c>
    </row>
    <row r="87" spans="1:8" x14ac:dyDescent="0.3">
      <c r="A87" s="64"/>
      <c r="B87" s="43"/>
      <c r="C87" s="44" t="s">
        <v>97</v>
      </c>
      <c r="D87" s="44" t="s">
        <v>11</v>
      </c>
      <c r="E87" s="73">
        <v>14.55</v>
      </c>
      <c r="F87" s="45">
        <f t="shared" si="30"/>
        <v>12.513</v>
      </c>
      <c r="G87" s="46">
        <f t="shared" si="31"/>
        <v>13.99</v>
      </c>
      <c r="H87" s="65">
        <f t="shared" si="32"/>
        <v>1.4770000000000003</v>
      </c>
    </row>
    <row r="88" spans="1:8" x14ac:dyDescent="0.3">
      <c r="A88" s="64"/>
      <c r="B88" s="43" t="s">
        <v>99</v>
      </c>
      <c r="C88" s="44" t="s">
        <v>15</v>
      </c>
      <c r="D88" s="44" t="s">
        <v>19</v>
      </c>
      <c r="E88" s="73">
        <v>14.99</v>
      </c>
      <c r="F88" s="45">
        <f t="shared" si="30"/>
        <v>12.891400000000001</v>
      </c>
      <c r="G88" s="46">
        <f t="shared" si="31"/>
        <v>15.99</v>
      </c>
      <c r="H88" s="65">
        <f t="shared" si="32"/>
        <v>3.0985999999999994</v>
      </c>
    </row>
    <row r="89" spans="1:8" x14ac:dyDescent="0.3">
      <c r="A89" s="64"/>
      <c r="B89" s="43" t="s">
        <v>98</v>
      </c>
      <c r="C89" s="44" t="s">
        <v>15</v>
      </c>
      <c r="D89" s="44" t="s">
        <v>29</v>
      </c>
      <c r="E89" s="73">
        <v>7.55</v>
      </c>
      <c r="F89" s="45">
        <f t="shared" si="30"/>
        <v>6.4929999999999994</v>
      </c>
      <c r="G89" s="46">
        <f t="shared" si="31"/>
        <v>7.99</v>
      </c>
      <c r="H89" s="65">
        <f t="shared" si="32"/>
        <v>1.4970000000000008</v>
      </c>
    </row>
    <row r="90" spans="1:8" ht="19.5" thickBot="1" x14ac:dyDescent="0.35">
      <c r="A90" s="66"/>
      <c r="B90" s="67"/>
      <c r="C90" s="68" t="s">
        <v>97</v>
      </c>
      <c r="D90" s="68" t="s">
        <v>19</v>
      </c>
      <c r="E90" s="75">
        <v>9.99</v>
      </c>
      <c r="F90" s="69">
        <f t="shared" si="30"/>
        <v>8.5914000000000001</v>
      </c>
      <c r="G90" s="70">
        <f t="shared" si="31"/>
        <v>10.99</v>
      </c>
      <c r="H90" s="71">
        <f t="shared" si="32"/>
        <v>2.3986000000000001</v>
      </c>
    </row>
    <row r="91" spans="1:8" ht="19.5" thickBot="1" x14ac:dyDescent="0.35">
      <c r="A91" s="51" t="s">
        <v>100</v>
      </c>
      <c r="B91" s="52"/>
      <c r="C91" s="53"/>
      <c r="D91" s="53"/>
      <c r="E91" s="54"/>
      <c r="F91" s="55"/>
      <c r="G91" s="56"/>
      <c r="H91" s="57"/>
    </row>
    <row r="92" spans="1:8" x14ac:dyDescent="0.3">
      <c r="A92" s="58"/>
      <c r="B92" s="59" t="s">
        <v>101</v>
      </c>
      <c r="C92" s="60" t="s">
        <v>97</v>
      </c>
      <c r="D92" s="60" t="s">
        <v>11</v>
      </c>
      <c r="E92" s="72">
        <v>13.99</v>
      </c>
      <c r="F92" s="61">
        <f t="shared" ref="F92:F100" si="33">E92*0.86</f>
        <v>12.0314</v>
      </c>
      <c r="G92" s="62">
        <f t="shared" ref="G92:G100" si="34">ROUND((IF(D92="Flagship",1.15,1.25)*F92),0.01)-0.01</f>
        <v>13.99</v>
      </c>
      <c r="H92" s="63">
        <f t="shared" ref="H92:H100" si="35">G92-F92</f>
        <v>1.9586000000000006</v>
      </c>
    </row>
    <row r="93" spans="1:8" x14ac:dyDescent="0.3">
      <c r="A93" s="64"/>
      <c r="B93" s="43" t="s">
        <v>93</v>
      </c>
      <c r="C93" s="44" t="s">
        <v>15</v>
      </c>
      <c r="D93" s="44" t="s">
        <v>19</v>
      </c>
      <c r="E93" s="73">
        <v>15.99</v>
      </c>
      <c r="F93" s="45">
        <f t="shared" si="33"/>
        <v>13.7514</v>
      </c>
      <c r="G93" s="46">
        <f t="shared" si="34"/>
        <v>16.989999999999998</v>
      </c>
      <c r="H93" s="65">
        <f t="shared" si="35"/>
        <v>3.2385999999999981</v>
      </c>
    </row>
    <row r="94" spans="1:8" x14ac:dyDescent="0.3">
      <c r="A94" s="64"/>
      <c r="B94" s="43"/>
      <c r="C94" s="44" t="s">
        <v>94</v>
      </c>
      <c r="D94" s="44" t="s">
        <v>11</v>
      </c>
      <c r="E94" s="73">
        <v>21.99</v>
      </c>
      <c r="F94" s="45">
        <f t="shared" si="33"/>
        <v>18.911399999999997</v>
      </c>
      <c r="G94" s="46">
        <f t="shared" si="34"/>
        <v>21.99</v>
      </c>
      <c r="H94" s="65">
        <f t="shared" si="35"/>
        <v>3.0786000000000016</v>
      </c>
    </row>
    <row r="95" spans="1:8" x14ac:dyDescent="0.3">
      <c r="A95" s="64"/>
      <c r="B95" s="43"/>
      <c r="C95" s="44" t="s">
        <v>95</v>
      </c>
      <c r="D95" s="44" t="s">
        <v>11</v>
      </c>
      <c r="E95" s="73">
        <v>28.99</v>
      </c>
      <c r="F95" s="45">
        <f t="shared" si="33"/>
        <v>24.9314</v>
      </c>
      <c r="G95" s="46">
        <f t="shared" si="34"/>
        <v>28.99</v>
      </c>
      <c r="H95" s="65">
        <f t="shared" si="35"/>
        <v>4.0585999999999984</v>
      </c>
    </row>
    <row r="96" spans="1:8" x14ac:dyDescent="0.3">
      <c r="A96" s="64"/>
      <c r="B96" s="43" t="s">
        <v>103</v>
      </c>
      <c r="C96" s="44" t="s">
        <v>15</v>
      </c>
      <c r="D96" s="44" t="s">
        <v>11</v>
      </c>
      <c r="E96" s="73">
        <v>16.989999999999998</v>
      </c>
      <c r="F96" s="45">
        <f t="shared" si="33"/>
        <v>14.611399999999998</v>
      </c>
      <c r="G96" s="46">
        <f t="shared" si="34"/>
        <v>16.989999999999998</v>
      </c>
      <c r="H96" s="65">
        <f t="shared" si="35"/>
        <v>2.3786000000000005</v>
      </c>
    </row>
    <row r="97" spans="1:8" x14ac:dyDescent="0.3">
      <c r="A97" s="64"/>
      <c r="B97" s="43" t="s">
        <v>82</v>
      </c>
      <c r="C97" s="44" t="s">
        <v>68</v>
      </c>
      <c r="D97" s="44" t="s">
        <v>11</v>
      </c>
      <c r="E97" s="73">
        <v>13.99</v>
      </c>
      <c r="F97" s="45">
        <f t="shared" si="33"/>
        <v>12.0314</v>
      </c>
      <c r="G97" s="46">
        <f t="shared" si="34"/>
        <v>13.99</v>
      </c>
      <c r="H97" s="65">
        <f t="shared" si="35"/>
        <v>1.9586000000000006</v>
      </c>
    </row>
    <row r="98" spans="1:8" x14ac:dyDescent="0.3">
      <c r="A98" s="64"/>
      <c r="B98" s="43"/>
      <c r="C98" s="44" t="s">
        <v>87</v>
      </c>
      <c r="D98" s="44" t="s">
        <v>11</v>
      </c>
      <c r="E98" s="73">
        <v>17.989999999999998</v>
      </c>
      <c r="F98" s="45">
        <f t="shared" si="33"/>
        <v>15.471399999999999</v>
      </c>
      <c r="G98" s="46">
        <f t="shared" si="34"/>
        <v>17.989999999999998</v>
      </c>
      <c r="H98" s="65">
        <f t="shared" si="35"/>
        <v>2.5185999999999993</v>
      </c>
    </row>
    <row r="99" spans="1:8" x14ac:dyDescent="0.3">
      <c r="A99" s="64"/>
      <c r="B99" s="43" t="s">
        <v>102</v>
      </c>
      <c r="C99" s="44" t="s">
        <v>15</v>
      </c>
      <c r="D99" s="44" t="s">
        <v>29</v>
      </c>
      <c r="E99" s="73">
        <v>7.75</v>
      </c>
      <c r="F99" s="45">
        <f t="shared" si="33"/>
        <v>6.665</v>
      </c>
      <c r="G99" s="46">
        <f t="shared" si="34"/>
        <v>7.99</v>
      </c>
      <c r="H99" s="65">
        <f t="shared" si="35"/>
        <v>1.3250000000000002</v>
      </c>
    </row>
    <row r="100" spans="1:8" ht="19.5" thickBot="1" x14ac:dyDescent="0.35">
      <c r="A100" s="66"/>
      <c r="B100" s="67"/>
      <c r="C100" s="68" t="s">
        <v>97</v>
      </c>
      <c r="D100" s="68" t="s">
        <v>19</v>
      </c>
      <c r="E100" s="75">
        <v>9.99</v>
      </c>
      <c r="F100" s="69">
        <f t="shared" si="33"/>
        <v>8.5914000000000001</v>
      </c>
      <c r="G100" s="70">
        <f t="shared" si="34"/>
        <v>10.99</v>
      </c>
      <c r="H100" s="71">
        <f t="shared" si="35"/>
        <v>2.3986000000000001</v>
      </c>
    </row>
    <row r="101" spans="1:8" ht="19.5" thickBot="1" x14ac:dyDescent="0.35">
      <c r="A101" s="51" t="s">
        <v>104</v>
      </c>
      <c r="B101" s="52"/>
      <c r="C101" s="53"/>
      <c r="D101" s="53"/>
      <c r="E101" s="54"/>
      <c r="F101" s="55"/>
      <c r="G101" s="56"/>
      <c r="H101" s="57"/>
    </row>
    <row r="102" spans="1:8" x14ac:dyDescent="0.3">
      <c r="A102" s="58"/>
      <c r="B102" s="59" t="s">
        <v>49</v>
      </c>
      <c r="C102" s="60" t="s">
        <v>15</v>
      </c>
      <c r="D102" s="60" t="s">
        <v>11</v>
      </c>
      <c r="E102" s="72">
        <v>15.99</v>
      </c>
      <c r="F102" s="61">
        <f t="shared" ref="F102:F103" si="36">E102*0.86</f>
        <v>13.7514</v>
      </c>
      <c r="G102" s="62">
        <f t="shared" ref="G102:G103" si="37">ROUND((IF(D102="Flagship",1.15,1.25)*F102),0.01)-0.01</f>
        <v>15.99</v>
      </c>
      <c r="H102" s="63">
        <f t="shared" ref="H102:H103" si="38">G102-F102</f>
        <v>2.2385999999999999</v>
      </c>
    </row>
    <row r="103" spans="1:8" x14ac:dyDescent="0.3">
      <c r="A103" s="64"/>
      <c r="B103" s="43" t="s">
        <v>105</v>
      </c>
      <c r="C103" s="44" t="s">
        <v>51</v>
      </c>
      <c r="D103" s="44" t="s">
        <v>11</v>
      </c>
      <c r="E103" s="73">
        <v>19.989999999999998</v>
      </c>
      <c r="F103" s="45">
        <f t="shared" si="36"/>
        <v>17.191399999999998</v>
      </c>
      <c r="G103" s="46">
        <f t="shared" si="37"/>
        <v>19.989999999999998</v>
      </c>
      <c r="H103" s="65">
        <f t="shared" si="38"/>
        <v>2.7986000000000004</v>
      </c>
    </row>
    <row r="104" spans="1:8" ht="19.5" thickBot="1" x14ac:dyDescent="0.35">
      <c r="A104" s="66"/>
      <c r="B104" s="67" t="s">
        <v>106</v>
      </c>
      <c r="C104" s="68" t="s">
        <v>15</v>
      </c>
      <c r="D104" s="68" t="s">
        <v>29</v>
      </c>
      <c r="E104" s="75">
        <v>8.35</v>
      </c>
      <c r="F104" s="69">
        <f t="shared" ref="F104" si="39">E104*0.86</f>
        <v>7.1809999999999992</v>
      </c>
      <c r="G104" s="70">
        <f t="shared" ref="G104" si="40">ROUND((IF(D104="Flagship",1.15,1.25)*F104),0.01)-0.01</f>
        <v>8.99</v>
      </c>
      <c r="H104" s="71">
        <f t="shared" ref="H104" si="41">G104-F104</f>
        <v>1.8090000000000011</v>
      </c>
    </row>
  </sheetData>
  <mergeCells count="1">
    <mergeCell ref="A1:B1"/>
  </mergeCells>
  <phoneticPr fontId="8" type="noConversion"/>
  <conditionalFormatting sqref="H5:H1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7" r:id="rId1" display="https://cubezz.com/Buy-7873-QiYi+X-Man+Design+Tornado+V4+3x3x3+Speed+Cube+Pioneer+UV+Version.html" xr:uid="{98595B9A-6FF5-40B0-A106-8CBBD614A0A9}"/>
    <hyperlink ref="E6" r:id="rId2" display="https://cubezz.com/Buy-7872-QiYi+X-Man+Design+Tornado+V4+3x3x3+Speed+Cube+Flagship+Version.html" xr:uid="{083EB21D-B4DE-4DC5-A0A5-F1F580098E7D}"/>
    <hyperlink ref="E5" r:id="rId3" display="https://cubezz.com/Buy-8342-GAN16+Maglev+Max+UV+Coated.html" xr:uid="{52D50602-43BA-473D-B22E-75FF352C27C0}"/>
    <hyperlink ref="E8" r:id="rId4" display="https://cubezz.com/Buy-8211-MoYu+WeiLong+V11+3x3x3+Speed+Cube+Magnetic+Version.html" xr:uid="{404D3DD1-44FA-4627-98A3-BAFEAF0BF04C}"/>
    <hyperlink ref="E9" r:id="rId5" display="https://cubezz.com/Buy-8210-MoYu+WeiLong+V11+3x3x3+Speed+Cube+Magnetic+Magic+Cloth+Version.html" xr:uid="{E6836382-04E4-46D3-8197-5A7927119421}"/>
    <hyperlink ref="E10" r:id="rId6" display="https://cubezz.com/Buy-8209-MoYu+WeiLong+V11+8-Magnet+Ball-core+3x3x3+Speed+Cube+Magic+Cloth+Version.html" xr:uid="{51BA380A-E7B1-467A-B100-9CBE7229E268}"/>
    <hyperlink ref="E11" r:id="rId7" display="https://cubezz.com/Buy-8208-MoYu+WeiLong+V11+20-Magnet+3x3x3+Speed+Cube+MagLev+Ball-core+Magic+Cloth+Version.html" xr:uid="{6B2D3223-06C5-4033-A365-456D99A2D826}"/>
    <hyperlink ref="E14" r:id="rId8" display="https://cubezz.com/Buy-6788-Gan12+Maglev+UV+3x3x3+Speed+Cube+Sticerless.html" xr:uid="{6D524CA0-A65E-4285-9635-2ADC47AD42A2}"/>
    <hyperlink ref="E12" r:id="rId9" display="https://cubezz.com/Buy-6787-Gan12+M+Leap+3x3x3+Speed+Cube+Sticerless.html" xr:uid="{9BEA7355-D8F8-45C4-B6DF-013D672AAE54}"/>
    <hyperlink ref="E13" r:id="rId10" display="https://cubezz.com/Buy-6777-Gan12+Maglev+3x3x3+Speed+Cube+Sticerless+Tiled+Primary+Core.html" xr:uid="{9F4E9E04-D660-4D3E-B5A9-1411857A8743}"/>
    <hyperlink ref="E18" r:id="rId11" display="https://cubezz.com/Buy-7453-MoYu+MoFangJiaoShi+RS3M+V5+3x3x3+Speed+Cube+Ball-Core+Magic+Cloth++Robot+Version.html" xr:uid="{6766E7D6-C964-42A6-B426-21C1423589F7}"/>
    <hyperlink ref="E15" r:id="rId12" display="https://cubezz.com/Buy-7457-MoYu+MoFangJiaoShi+RS3M+V5+3x3x3+Speed+Cube+Magnetic+Version.html" xr:uid="{DC6D2FFC-EADA-4194-AFD2-7BE53AA288B9}"/>
    <hyperlink ref="E16" r:id="rId13" display="https://cubezz.com/Buy-7456-MoYu+MoFangJiaoShi+RS3M+V5+3x3x3+Speed+Cube+Magnetic+Dual+Adjustment+Version.html" xr:uid="{B85E4239-04FF-49DC-B02B-082E82B45B9F}"/>
    <hyperlink ref="E17" r:id="rId14" display="https://cubezz.com/Buy-7454-MoYu+MoFangJiaoShi+RS3M+V5+3x3x3+Speed+Cube+MagLev++Robot+Version.html" xr:uid="{2AD1104B-2738-4ECE-814E-B3F9D4D521A7}"/>
    <hyperlink ref="E19" r:id="rId15" display="https://cubezz.com/Buy-7454-MoYu+MoFangJiaoShi+RS3M+V5+3x3x3+Speed+Cube+MagLev++Robot+Version.html" xr:uid="{13180BE7-6E4A-433A-BE5D-1C8B619BA13D}"/>
    <hyperlink ref="E20" r:id="rId16" display="https://cubezz.com/Buy-7709-Classroom+Meilong+3M+V2+3x3+Magnetic+Cube+Stickerless.html" xr:uid="{C08D640E-A8E7-4691-BCDD-59540CF3BB2D}"/>
    <hyperlink ref="E22" r:id="rId17" display="https://cubezz.com/Buy-6932-GAN251+M+Leap+UV+Magnetic+2x2x2+Speed+Cube+Stickerless.html" xr:uid="{EF870CD9-2CCA-4E26-880A-22F7F363A722}"/>
    <hyperlink ref="E23" r:id="rId18" display="https://cubezz.com/Buy-6678-GAN251+M+Pro+Leap+Magnetic+2x2x2+Speed+Cube+Stickerless.html" xr:uid="{EDEEDB0E-4B2E-4509-B6DC-A499B1626650}"/>
    <hyperlink ref="E24" r:id="rId19" display="https://cubezz.com/Buy-6677-GAN251+M+Pro+Magnetic+2x2x2+Speed+Cube+Stickerless.html" xr:uid="{195D66ED-C801-4FF0-B188-2E99624F3F8B}"/>
    <hyperlink ref="E25" r:id="rId20" display="https://cubezz.com/Buy-6676-GAN251+M+Air+Magnetic+2x2x2+Speed+Cube+Stickerless.html" xr:uid="{18BD4B64-9B74-4EE7-A136-1527D1631BDE}"/>
    <hyperlink ref="E26" r:id="rId21" display="https://cubezz.com/Buy-8003-MoYu+Culture+WeiPo+V5+2x2x2+20-Magnet+Ball+Core+Magic+Cloth+Version.html" xr:uid="{C7336B82-67DE-44B1-BAEC-E0C566874B07}"/>
    <hyperlink ref="E27" r:id="rId22" display="https://cubezz.com/Buy-6715-MoYu+WeiPo+WRS+5-level+Magnets+Adjustable+2x2x2+Speeed+Cube+Stickerless.html" xr:uid="{3F21A2AD-FF91-4CF8-8EA2-16CEECA89AB3}"/>
    <hyperlink ref="E28" r:id="rId23" display="https://cubezz.com/Buy-8375-YongJun+MGC+2+BETA+2x2x2+Speed+Cube+Basic+Magnetic+Version.html/" xr:uid="{E6D34701-0E42-4A8D-BDAF-74E40D97F23D}"/>
    <hyperlink ref="E29" r:id="rId24" display="https://cubezz.com/Buy-8374-YongJun+MGC+2+BETA+Full+Magnetic+2x2x2+Speed+Cube+UV+Version.html" xr:uid="{FA4ACFBF-45E8-4943-BACC-90B72F4A74FD}"/>
    <hyperlink ref="E30" r:id="rId25" display="https://cubezz.com/Buy-5771-YongJun+MGC+Magnetic+2x2x2+Speed+Cube+Stickerless.html" xr:uid="{7A537394-90CE-4B67-9369-4A9ACF1CBE28}"/>
    <hyperlink ref="E31" r:id="rId26" display="https://cubezz.com/Buy-6860-MoYu+Classroom+RS2M+V2+2x2x2+Magnetic+Speed+Cube+Stickerless.html" xr:uid="{3C5F3B1A-5DC4-44F7-B845-8FEF38550726}"/>
    <hyperlink ref="E33" r:id="rId27" display="https://cubezz.com/Buy-7860-MoYu+Culture+AoSu+V7+4x4+Speed+Cube+Single-Track+Magnetic+Version.html" xr:uid="{DA73C2DD-E956-4FC1-BDF4-53F8BC85DFB5}"/>
    <hyperlink ref="E34" r:id="rId28" display="https://cubezz.com/Buy-7859-MoYu+Culture+AoSu+V7+4x4+Speed+Cube+Single-Track+Magnetic+Magic+Cloth+Version.html" xr:uid="{0EC29885-95EA-458C-9DFC-BEC4D158362C}"/>
    <hyperlink ref="E35" r:id="rId29" display="https://cubezz.com/Buy-7858-MoYu+Culture+AoSu+V7+4x4+Speed+Cube+Dual-Track+Magnetic+Magic+Cloth+Version.html" xr:uid="{1D8C7E18-AC20-4CF8-973B-96DB74E7C533}"/>
    <hyperlink ref="E36" r:id="rId30" display="https://cubezz.com/Buy-7857-MoYu+Culture+AoSu+V7+4x4+Speed+Cube+Triple-Track+Magnetic+Magic+Cloth+Version.html" xr:uid="{61020CCD-14CF-4BBF-8DF7-9E96987FCB2B}"/>
    <hyperlink ref="E37" r:id="rId31" display="https://cubezz.com/Buy-8181-GAN460+M+V2+4x4x4+Enhanced+Core+Positioning+Magnetic+Speed+Cube.html" xr:uid="{8EBB0953-1786-434A-A4A7-40F865F707AF}"/>
    <hyperlink ref="E40" r:id="rId32" display="https://cubezz.com/Buy-7690-YongJun+MGC+Magnetic+4x4x4+Speed+Cube+Speed-micro+Actuator+Version.html" xr:uid="{EA6B0562-1D67-4BA6-98AD-80069523373A}"/>
    <hyperlink ref="E39" r:id="rId33" display="https://cubezz.com/Buy-7652-YongJun+MGC+Magnetic+4x4x4+Speed+Cube+UV+Version.html" xr:uid="{45C87317-AFF6-4D37-9768-FB04F8857309}"/>
    <hyperlink ref="E38" r:id="rId34" display="https://cubezz.com/Buy-6222-YongJun+MGC+Magnetic+4x4x4+Speed+Cube+Stickerless.html" xr:uid="{B06A08A9-B28D-440E-BD88-E1DF11D1A8A8}"/>
    <hyperlink ref="E41" r:id="rId35" display="https://cubezz.com/Buy-6309-MoYu+Classroom+RS4+M+2020+4x4x4+Magnetic+Magic+Cube+Stickerless.html" xr:uid="{5F0E27DE-AE17-4153-8919-27C18D3DF7A7}"/>
    <hyperlink ref="E43" r:id="rId36" display="https://cubezz.com/Buy-7885-MoYu+Culture+AoChuang+V6+5x5+Speed+Cube+Single-Track+Magnetic+Version.html" xr:uid="{6E45B6DA-8EF0-4219-B537-2179E3EB6754}"/>
    <hyperlink ref="E44" r:id="rId37" display="https://cubezz.com/Buy-7886-MoYu+Culture+AoChuang+V6+5x5+Speed+Cube+Single-Track+Magnetic+Version+Magic+Cloth+Version.html" xr:uid="{2390B40B-C4D5-41B1-AE20-071E01084664}"/>
    <hyperlink ref="E45" r:id="rId38" display="https://cubezz.com/Buy-7887-MoYu+Culture+AoChuang+V6+5x5+Speed+Cube+Dual-Track+Magnetic+Version+Magic+Cloth+Version.html" xr:uid="{BB090FEA-97DE-40F9-8BF6-08F6C8F97FC4}"/>
    <hyperlink ref="E46" r:id="rId39" display="https://cubezz.com/Buy-7888-MoYu+Culture+AoChuang+V6+5x5+Speed+Cube+Triple-Track+Magnetic+Version+Magic+Cloth+Version.html" xr:uid="{0EC43942-D6EC-40DA-AC3B-6B7A351DA32C}"/>
    <hyperlink ref="E47" r:id="rId40" display="https://cubezz.com/Buy-7761-Gan562+M+Magnetic+5x5x5+Speed+Cube+Sticerless.html" xr:uid="{526874A8-90DE-4AA6-934E-1251DBE632B0}"/>
    <hyperlink ref="E48" r:id="rId41" display="https://cubezz.com/Buy-7762-Gan562+M+Magnetic+5x5x5+Speed+Cube+Sticerless+UV+Version.html" xr:uid="{2186F88C-F3C4-4C90-81F8-8AA4E27F6EA3}"/>
    <hyperlink ref="E50" r:id="rId42" display="https://cubezz.com/Buy-6236-Classroom+Meilong+M+5x5x5+Magnetic+Magic+Cube+Stickerless.html" xr:uid="{172EF171-06A1-4021-9881-BC82A843582B}"/>
    <hyperlink ref="E49" r:id="rId43" display="https://cubezz.com/Buy-6162-YongJun+MGC+5+Magnetic+5x5x5+Stickerless+Speed+Cube.html" xr:uid="{4A32C3C3-3A15-43C2-8890-C32A0FC4F2EF}"/>
    <hyperlink ref="E52" r:id="rId44" display="https://cubezz.com/Buy-8188-QiYi+MoFangGe+XMD+Shadow+V3+Core+Magnetic+6x6x6+Speed+Cube+UV+Version.html" xr:uid="{0E9EC35F-FECC-484A-908C-4A8E25BB1A28}"/>
    <hyperlink ref="E53" r:id="rId45" display="https://cubezz.com/Buy-7086-MoYu+AoShi+WR+M+6x6x6+Magnetic+Speed+Cube+Stickerless.html" xr:uid="{267BC5E5-E491-464A-966A-815312E05727}"/>
    <hyperlink ref="E54" r:id="rId46" display="https://cubezz.com/Buy-6164-YongJun+MGC+6+Magnetic+6x6x6+Stickerless+Speed+Cube.html" xr:uid="{DE5E70B1-5008-4772-96C5-A978380B7BE4}"/>
    <hyperlink ref="E55" r:id="rId47" display="https://cubezz.com/Buy-7415-MoYu+MFJS+MeiLong+6M+V2+Magnetic+6x6x6+Magic+Cube+Stickerless.html" xr:uid="{93D07F17-C690-450C-A841-C1E17EFB5B4C}"/>
    <hyperlink ref="E57" r:id="rId48" display="https://cubezz.com/Buy-7954-QiYi+MoFangGe+XMD+Spark+V2+Core+Magnetic+7x7x7+Speed+Cube+Stickerless.html" xr:uid="{5F357348-7EA8-4CEB-B255-9302B2120EB2}"/>
    <hyperlink ref="E61" r:id="rId49" display="https://cubezz.com/Buy-7046-MoYu+AoFu+WR+M+7x7x7+Magnetic+Speed+Cube+Stickerless.html" xr:uid="{CAB351FE-968C-4612-872D-694D3C31EDE0}"/>
    <hyperlink ref="E60" r:id="rId50" display="https://cubezz.com/Buy-8306-MoYu+Culture+AoFu+V5+7x7+Speed+Cube+Single-Track+Magnetic+Version.html" xr:uid="{C9D09879-C646-4980-A908-5EA81CD6B9A9}"/>
    <hyperlink ref="E59" r:id="rId51" display="https://cubezz.com/Buy-8305-MoYu+Culture+AoFu+V5+7x7+Speed+Cube+Dual-Track+Magnetic+Version.html" xr:uid="{2DC53A5F-729D-4BF5-A938-B902A514B5E6}"/>
    <hyperlink ref="E58" r:id="rId52" display="https://cubezz.com/Buy-8304-MoYu+Culture+AoFu+V5+7x7+Speed+Cube+Triple-Track+Magnetic+Version.html" xr:uid="{1389B3B4-0B7C-46B3-A137-5780B92EB3BB}"/>
    <hyperlink ref="E62" r:id="rId53" display="https://cubezz.com/Buy-6297-YongJun+MGC+Magnetic+7x7x7+Speed+Cube+Stickerless.html" xr:uid="{C5AE0C3F-4FF9-403B-AD64-2B8AA84C464A}"/>
    <hyperlink ref="E63" r:id="rId54" display="https://cubezz.com/Buy-7431-MoYu+MFJS+MeiLong+7M+V2+Magnetic+7x7x7+Magic+Cube+Stickerless.html" xr:uid="{0B66C5D6-F18F-451B-8DC5-0B654897B0DA}"/>
    <hyperlink ref="E65" r:id="rId55" display="https://cubezz.com/Buy-6292-QiYi+ChuanShi+Double-faced+Magnetic+Magic+Clock.html" xr:uid="{433BC032-51B1-4FDA-A6C1-AB7463B24E76}"/>
    <hyperlink ref="E66" r:id="rId56" display="https://cubezz.com/Buy-8367-QiYi+ChuanShi+Magnetic+Magic+Clock+Pink.html/" xr:uid="{A28B3269-96CA-4FEB-AE57-6D379A2635DE}"/>
    <hyperlink ref="E67" r:id="rId57" display="https://cubezz.com/Buy-8151-QiYi+ChuanShi+Magnetic+Magic+Clock+Apple+Green.html/" xr:uid="{330BB3B4-45F5-4D37-A830-70D9D1D195F5}"/>
    <hyperlink ref="E69" r:id="rId58" display="https://cubezz.com/Buy-8002-QiYi+ChuanShi+Magnetic+Magic+Clock+Lilac.html" xr:uid="{0EA7F411-F195-4247-BDC0-3DF69CA5355C}"/>
    <hyperlink ref="E70" r:id="rId59" display="https://cubezz.com/Buy-8296-SengSo+Dragon+Scale+Magnetic+Magic+Clock.html" xr:uid="{A84AFE16-1FDA-4601-8053-0FE4B816A321}"/>
    <hyperlink ref="E71" r:id="rId60" display="https://cubezz.com/Buy-6255-SengSo+Magnetic+Magic+Clock.html" xr:uid="{5F5632E7-C75E-4DC9-B234-1EFDD67F2CAD}"/>
    <hyperlink ref="E73" r:id="rId61" display="https://cubezz.com/Buy-6391-DaYan+Megaminx+V2+Magnetic+Speed+Cube+with+Corner+Ridges+Stickerless.html" xr:uid="{659177EC-5659-46FC-BCE3-5CA54A3B23DF}"/>
    <hyperlink ref="E74" r:id="rId62" display="https://cubezz.com/Buy-7588-DaYan+Megaminx+Pro+ML+Speed+Cube+Stickerless.html" xr:uid="{181EFB80-71C6-4998-BA41-F00F685EC8C7}"/>
    <hyperlink ref="E75" r:id="rId63" display="https://cubezz.com/Buy-7475-DaYan+Megaminx+Pro+M+Speed+Cube+Stickerless.html" xr:uid="{A2F6679E-F915-4746-96ED-65214FDCA697}"/>
    <hyperlink ref="E76" r:id="rId64" display="https://cubezz.com/Buy-7681-GAN+Ball-core+Megaminx+Maglev+UV+Coated+Grey+Version.html" xr:uid="{981D44F6-787A-4C92-B1A5-2275CC0EB9D0}"/>
    <hyperlink ref="E77" r:id="rId65" display="https://cubezz.com/Buy-7828-GAN+Ball-core+Megaminx+Maglev+UV+Coated+Black+Version.html" xr:uid="{FFCF5230-6190-44A5-BE2D-B04DCF71DC1D}"/>
    <hyperlink ref="E78" r:id="rId66" display="https://cubezz.com/Buy-6041-Gan+Megaminx+Cube+Stickerless.html" xr:uid="{AF5A3400-9DF9-47DF-B422-05BBA48B3A81}"/>
    <hyperlink ref="E79" r:id="rId67" display="https://cubezz.com/Buy-6181-YongJun+YuHu+M+Magnetic+Megaminx+Stickerless+Speed+Cube.html" xr:uid="{FC357E19-E3A9-4BC9-A563-2976366ED720}"/>
    <hyperlink ref="E88" r:id="rId68" display="https://cubezz.com/Buy-6257-QiYi+X-MAN+Design+Magnetic+Pyraminx-Bell+V2+Stickerless.html" xr:uid="{7047C61C-6B3D-4C61-9CE2-C6EEE7FCC888}"/>
    <hyperlink ref="E81" r:id="rId69" display="https://cubezz.com/Buy-8200-DaYan+Pyraminx+V3+M+Core-Magnet+Cube+Stickerless.html" xr:uid="{464B30C2-F846-4064-B29B-73C664F2B342}"/>
    <hyperlink ref="E82" r:id="rId70" display="https://cubezz.com/Buy-8199-DaYan+Pyraminx+V3+M+Core-Magnet+MagLev+UV+Version.html" xr:uid="{46CEF336-E770-4671-ADC5-3D222225586E}"/>
    <hyperlink ref="E83" r:id="rId71" display="https://cubezz.com/Buy-6299-Gan+Pyraminx+M+Cube+Core+Positioning-Standard+Edition.html" xr:uid="{68F58BE4-70BE-4BA3-BEBD-A2031B74BB82}"/>
    <hyperlink ref="E84" r:id="rId72" display="https://cubezz.com/Buy-6301-Gan+Pyraminx+M+Cube+Enhanced+Core+Positioning+Edition.html" xr:uid="{8701AB2C-14E8-4279-B3EC-3A1E0835AFFD}"/>
    <hyperlink ref="E85" r:id="rId73" display="https://cubezz.com/Buy-6933-Gan+Pyraminx+M+Cube+Enhanced+Core+Positioning+UV+Edition.html" xr:uid="{8A3AF33B-F278-4AB8-B83E-DF7E8954F6A0}"/>
    <hyperlink ref="E86" r:id="rId74" display="https://cubezz.com/Buy-6799-MoYu+Weilong+M+Magnetic+Pyraminx+Speed+Cube+Stickerless.html" xr:uid="{EBB29644-CBB3-4EBA-925B-9875221DAAA3}"/>
    <hyperlink ref="E87" r:id="rId75" display="https://cubezz.com/Buy-6800-MoYu+Weilong+MagLev+Pyraminx+Speed+Cube+Stickerless.html" xr:uid="{A685CDE8-5EB6-42AC-8F52-156D15267D7F}"/>
    <hyperlink ref="E89" r:id="rId76" display="https://cubezz.com/Buy-6968-MoYu+RS+Magnetic+Pyraminx+Speed+Cube+Stickerless.html" xr:uid="{3BE5C37C-CB8E-4D5F-8A7C-840D60E8EECE}"/>
    <hyperlink ref="E90" r:id="rId77" display="https://cubezz.com/Buy-6969-MoYu+RS+MagLev+Pyraminx+Speed+Cube+Stickerless.html" xr:uid="{E61F39A3-3F42-407A-AA8D-C54E0ABB6EBB}"/>
    <hyperlink ref="E92" r:id="rId78" display="https://cubezz.com/Buy-7015-MoYu+Weilong+MagLev+Skewb+Speed+Cube+Stickerless.html" xr:uid="{59D9B8A4-6C46-4F50-B912-8E4883CE904B}"/>
    <hyperlink ref="E100" r:id="rId79" display="https://cubezz.com/Buy-7102-MoYu+RS+MagLev+Skewb+Speed+Cube+Stickerless.html" xr:uid="{B031E703-CADF-40F1-9415-F92AECB25212}"/>
    <hyperlink ref="E99" r:id="rId80" display="https://cubezz.com/Buy-6980-MoYu+RS+Magnetic+Skewb+Speed+Cube+Stickerless.html" xr:uid="{F69607D6-6558-449B-B932-3EF0265E9185}"/>
    <hyperlink ref="E93" r:id="rId81" display="https://cubezz.com/Buy-6412-GAN+Skewb+M+Core+Positioning+Edition.html" xr:uid="{D382C397-2620-4114-9391-F5966522169A}"/>
    <hyperlink ref="E94" r:id="rId82" display="https://cubezz.com/Buy-6413-GAN+Skewb+M+Enhanced+Core+Positioning+Edition.html" xr:uid="{DD55EC03-00AB-4A65-B51D-733007BC147E}"/>
    <hyperlink ref="E95" r:id="rId83" display="https://cubezz.com/Buy-6934-GAN+Skewb+M+Enhanced+Core+Positioning+UV+Edition.html" xr:uid="{12937993-C752-4B22-8A95-5E0DD1882EFE}"/>
    <hyperlink ref="E96" r:id="rId84" display="https://cubezz.com/Buy-6937-QiYi+X-Man+Design+Wingy+V2+Skewb+Speed+Cube+Stickerless.html" xr:uid="{9FBE2B48-526B-49F0-AFBB-FEC6E4C16D86}"/>
    <hyperlink ref="E97" r:id="rId85" display="https://cubezz.com/Buy-8145-DaYan+Skewb+V2+M+Standard+Matte+Spring+Version.html" xr:uid="{3CB962F5-5FD2-457F-9A8B-7840B51B1B4A}"/>
    <hyperlink ref="E98" r:id="rId86" display="https://cubezz.com/Buy-8144-DaYan+Skewb+V2+M+MagLev+UV+Version.html" xr:uid="{ADF5BBCC-05DB-43D9-800B-E2546B3DF852}"/>
    <hyperlink ref="E103" r:id="rId87" display="https://cubezz.com/Buy-8413-YJ+MGC+SQ-1+V2+Speed+Cube+UV+Version.html" xr:uid="{586168D3-9606-4390-9A2C-B445FEC048E2}"/>
    <hyperlink ref="E102" r:id="rId88" display="https://cubezz.com/Buy-6604-YongJun+MGC+Magnetic+SQ-1+Speed+Cube+Stickerless.html" xr:uid="{AF869FC3-67EB-4989-BCEC-282960DD2C08}"/>
    <hyperlink ref="E104" r:id="rId89" display="https://cubezz.com/Buy-5959-YuXin+Little+Magic+M+SQ-1+Magnetic+Magic+Cube+Stickerless.html" xr:uid="{D32CFA03-6680-4230-A21D-FEDB79757028}"/>
    <hyperlink ref="E68" r:id="rId90" display="https://cubezz.com/Buy-7911-QiYi+ChuanShi+Magnetic+Magic+Clock+Glacier+Blue.html" xr:uid="{586978EF-581D-4756-BFA9-3066DE23EB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</dc:creator>
  <cp:lastModifiedBy>Toms Vucens</cp:lastModifiedBy>
  <dcterms:created xsi:type="dcterms:W3CDTF">2015-06-05T18:17:20Z</dcterms:created>
  <dcterms:modified xsi:type="dcterms:W3CDTF">2025-10-15T20:28:31Z</dcterms:modified>
</cp:coreProperties>
</file>